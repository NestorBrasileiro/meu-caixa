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Contas" state="visible" r:id="rId5"/>
    <sheet sheetId="3" name="Cartões" state="visible" r:id="rId6"/>
    <sheet sheetId="4" name="Faturas" state="visible" r:id="rId7"/>
    <sheet sheetId="5" name="Parcelamentos" state="visible" r:id="rId8"/>
    <sheet sheetId="6" name="Empréstimos" state="visible" r:id="rId9"/>
    <sheet sheetId="7" name="Compromissos fixos" state="visible" r:id="rId10"/>
    <sheet sheetId="8" name="Metas" state="visible" r:id="rId11"/>
    <sheet sheetId="9" name="Orçamento" state="visible" r:id="rId12"/>
    <sheet sheetId="10" name="Projeção" state="visible" r:id="rId13"/>
    <sheet sheetId="11" name="Fluxo de caixa" state="visible" r:id="rId14"/>
    <sheet sheetId="12" name="Gastos por categoria" state="visible" r:id="rId15"/>
    <sheet sheetId="13" name="Recorrências" state="visible" r:id="rId16"/>
    <sheet sheetId="14" name="Transações" state="visible" r:id="rId17"/>
    <sheet sheetId="15" name="Análise do Claude" state="visible" r:id="rId18"/>
  </sheets>
  <definedNames>
    <definedName name="_xlnm.Print_Titles" localSheetId="1">'Contas'!$5:$5</definedName>
    <definedName name="_xlnm.Print_Titles" localSheetId="2">'Cartões'!$5:$5</definedName>
    <definedName name="_xlnm.Print_Titles" localSheetId="3">'Faturas'!$5:$5</definedName>
    <definedName name="_xlnm.Print_Titles" localSheetId="4">'Parcelamentos'!$5:$5</definedName>
    <definedName name="_xlnm.Print_Titles" localSheetId="5">'Empréstimos'!$5:$5</definedName>
    <definedName name="_xlnm.Print_Titles" localSheetId="6">'Compromissos fixos'!$5:$5</definedName>
    <definedName name="_xlnm.Print_Titles" localSheetId="7">'Metas'!$5:$5</definedName>
    <definedName name="_xlnm.Print_Titles" localSheetId="8">'Orçamento'!$5:$5</definedName>
    <definedName name="_xlnm.Print_Titles" localSheetId="9">'Projeção'!$5:$5</definedName>
    <definedName name="_xlnm.Print_Titles" localSheetId="10">'Fluxo de caixa'!$5:$5</definedName>
    <definedName name="_xlnm.Print_Titles" localSheetId="11">'Gastos por categoria'!$5:$5</definedName>
    <definedName name="_xlnm.Print_Titles" localSheetId="12">'Recorrências'!$5:$5</definedName>
    <definedName name="_xlnm.Print_Titles" localSheetId="13">'Transações'!$5:$5</definedName>
  </definedNames>
  <calcPr calcId="171027"/>
</workbook>
</file>

<file path=xl/sharedStrings.xml><?xml version="1.0" encoding="utf-8"?>
<sst xmlns="http://schemas.openxmlformats.org/spreadsheetml/2006/main" count="929" uniqueCount="331">
  <si>
    <t>Meu Caixa — Exportação financeira</t>
  </si>
  <si>
    <t>Saldo em contas, dívida e limite dos cartões, resultado do período, contagens, avisos sobre dados desatualizados e convenções.</t>
  </si>
  <si>
    <t>Período: 01/08/2026 a 23/10/2026 · Gerado em 23/10/2026 14:05 (America/Sao_Paulo)</t>
  </si>
  <si>
    <t>Exportação</t>
  </si>
  <si>
    <t>Período</t>
  </si>
  <si>
    <t>01/08/2026 a 23/10/2026</t>
  </si>
  <si>
    <t>Gerado em</t>
  </si>
  <si>
    <t>23/10/2026 14:05 (America/Sao_Paulo)</t>
  </si>
  <si>
    <t>Última sincronização</t>
  </si>
  <si>
    <t>23/10/2026 13:58 — Concluída (manual)</t>
  </si>
  <si>
    <t>Saldos e dívidas (agora)</t>
  </si>
  <si>
    <t>Saldo em contas</t>
  </si>
  <si>
    <t>Dívida dos cartões (em aberto)</t>
  </si>
  <si>
    <t>Saldo em contas menos dívida dos cartões</t>
  </si>
  <si>
    <t>Limite total dos cartões</t>
  </si>
  <si>
    <t>Limite disponível nos cartões</t>
  </si>
  <si>
    <t>Parcelas de cartão a vencer</t>
  </si>
  <si>
    <t>Saldo devedor de empréstimos</t>
  </si>
  <si>
    <t>Compromissos fixos do mês atual</t>
  </si>
  <si>
    <t>Resultado do período</t>
  </si>
  <si>
    <t>Entradas</t>
  </si>
  <si>
    <t>Saídas (gastos)</t>
  </si>
  <si>
    <t>Saldo do período</t>
  </si>
  <si>
    <t>Taxa de poupança</t>
  </si>
  <si>
    <t>Pagamentos de fatura (não contam como gasto)</t>
  </si>
  <si>
    <t>Transferências para contas próprias (não contam)</t>
  </si>
  <si>
    <t>Contagens</t>
  </si>
  <si>
    <t>Bancos conectados</t>
  </si>
  <si>
    <t>Contas</t>
  </si>
  <si>
    <t>Cartões de crédito</t>
  </si>
  <si>
    <t>Transações no período</t>
  </si>
  <si>
    <t>Faturas</t>
  </si>
  <si>
    <t>Parcelamentos em aberto</t>
  </si>
  <si>
    <t>Empréstimos</t>
  </si>
  <si>
    <t>Compromissos fixos</t>
  </si>
  <si>
    <t>Metas</t>
  </si>
  <si>
    <t>Conexões</t>
  </si>
  <si>
    <t>Banco</t>
  </si>
  <si>
    <t>Status da conexão</t>
  </si>
  <si>
    <t>Atualizada no banco em</t>
  </si>
  <si>
    <t>Banco Exemplo</t>
  </si>
  <si>
    <t>Ativa</t>
  </si>
  <si>
    <t>Cartão Exemplo</t>
  </si>
  <si>
    <t>Precisa reconectar</t>
  </si>
  <si>
    <t>Avisos sobre os dados</t>
  </si>
  <si>
    <t>• Cartão Exemplo: a conexão precisa de ação (reconecte no Meu Pluggy); os dados deste banco podem estar desatualizados.</t>
  </si>
  <si>
    <t>Convenções</t>
  </si>
  <si>
    <t>• Valores em reais (R$). Negativos são saídas de dinheiro; positivos, entradas.</t>
  </si>
  <si>
    <t>• Pagamento de fatura e transferência entre contas próprias não são gasto nem renda (as compras do cartão já contam como gasto na data da compra): nas transações, aparecem com "Interna = Sim".</t>
  </si>
  <si>
    <t>• Nos cartões, "dívida" é o valor em aberto (quanto se deve), não um saldo negativo.</t>
  </si>
  <si>
    <t>• Datas em dd/mm/aaaa, no fuso de Brasília. Meses marcados como parciais não estão completos no período.</t>
  </si>
  <si>
    <t>• Categoria: a escolhida no Meu Caixa quando você editou; a original do banco aparece em "Categoria original".</t>
  </si>
  <si>
    <t>Todas as contas e cartões conectados: banco, tipo, saldo (ou dívida do cartão), limite, disponível e até quando foram sincronizados.</t>
  </si>
  <si>
    <t>Tipo</t>
  </si>
  <si>
    <t>Nome</t>
  </si>
  <si>
    <t>Número</t>
  </si>
  <si>
    <t>Saldo</t>
  </si>
  <si>
    <t>Dívida do cartão</t>
  </si>
  <si>
    <t>Limite</t>
  </si>
  <si>
    <t>Disponível</t>
  </si>
  <si>
    <t>Sincronizado até</t>
  </si>
  <si>
    <t>Conexão</t>
  </si>
  <si>
    <t>Conta corrente</t>
  </si>
  <si>
    <t>12345-6</t>
  </si>
  <si>
    <t>Poupança</t>
  </si>
  <si>
    <t>12345-7</t>
  </si>
  <si>
    <t>Cartão de crédito</t>
  </si>
  <si>
    <t>Cartão Platinum</t>
  </si>
  <si>
    <t>4321</t>
  </si>
  <si>
    <t>Cartão Adicional</t>
  </si>
  <si>
    <t>8765</t>
  </si>
  <si>
    <t>Total</t>
  </si>
  <si>
    <t>Cartões</t>
  </si>
  <si>
    <t>Cada cartão de crédito: limite, usado, disponível, % de uso e a fatura em aberto.</t>
  </si>
  <si>
    <t>Cartão</t>
  </si>
  <si>
    <t>Final</t>
  </si>
  <si>
    <t>Usado</t>
  </si>
  <si>
    <t>% de uso</t>
  </si>
  <si>
    <t>Fatura aberta</t>
  </si>
  <si>
    <t>Fecha em</t>
  </si>
  <si>
    <t>Vence em</t>
  </si>
  <si>
    <t>Histórico de faturas por cartão (fechamento, vencimento, total e mínimo).</t>
  </si>
  <si>
    <t>Fechamento</t>
  </si>
  <si>
    <t>Vencimento</t>
  </si>
  <si>
    <t>Pagamento mínimo</t>
  </si>
  <si>
    <t>Situação</t>
  </si>
  <si>
    <t>A vencer</t>
  </si>
  <si>
    <t>Já venceu</t>
  </si>
  <si>
    <t>• Faturas com vencimento a partir do início do período, inclusive as futuras.</t>
  </si>
  <si>
    <t>Parcelamentos</t>
  </si>
  <si>
    <t>Compras parceladas no cartão ainda em aberto: parcela atual, valor, próxima, fim e quanto falta pagar.</t>
  </si>
  <si>
    <t>Compra</t>
  </si>
  <si>
    <t>Parcela atual</t>
  </si>
  <si>
    <t>Valor da parcela</t>
  </si>
  <si>
    <t>Próxima parcela</t>
  </si>
  <si>
    <t>Termina em</t>
  </si>
  <si>
    <t>Parcelas restantes</t>
  </si>
  <si>
    <t>Valor restante</t>
  </si>
  <si>
    <t>Loja Exemplo — Geladeira</t>
  </si>
  <si>
    <t>4/10</t>
  </si>
  <si>
    <t>Ótica São João</t>
  </si>
  <si>
    <t>6/6</t>
  </si>
  <si>
    <t>• Deduzido das parcelas que aparecem nas faturas (o Open Finance não informa o plano da compra). Valor restante = parcelas restantes × valor da parcela, contando a atual.</t>
  </si>
  <si>
    <t>Empréstimos e financiamentos informados pelos bancos: saldo devedor, parcelas, taxa e CET.</t>
  </si>
  <si>
    <t>Produto</t>
  </si>
  <si>
    <t>Contrato</t>
  </si>
  <si>
    <t>Contratado</t>
  </si>
  <si>
    <t>Saldo devedor</t>
  </si>
  <si>
    <t>Parcelas pagas</t>
  </si>
  <si>
    <t>Total de parcelas</t>
  </si>
  <si>
    <t>Restantes</t>
  </si>
  <si>
    <t>Atrasadas</t>
  </si>
  <si>
    <t>Valor da próxima</t>
  </si>
  <si>
    <t>Taxa a.a.</t>
  </si>
  <si>
    <t>CET a.a.</t>
  </si>
  <si>
    <t>Contratado em</t>
  </si>
  <si>
    <t>Vencimento final</t>
  </si>
  <si>
    <t>Periodicidade</t>
  </si>
  <si>
    <t>Crédito pessoal</t>
  </si>
  <si>
    <t>000123</t>
  </si>
  <si>
    <t>Mensal</t>
  </si>
  <si>
    <t>• Dados informados pelos bancos via Open Finance. Financiamentos que o banco não compartilha (ex.: com loteadora) ficam em "Compromissos fixos" quando cadastrados.</t>
  </si>
  <si>
    <t>Gastos fixos cadastrados (ex.: parcela do terreno), com parcelas pagas, fim e valor restante.</t>
  </si>
  <si>
    <t>Compromisso</t>
  </si>
  <si>
    <t>Valor mensal</t>
  </si>
  <si>
    <t>Dia</t>
  </si>
  <si>
    <t>Forma de pagamento</t>
  </si>
  <si>
    <t>Categoria</t>
  </si>
  <si>
    <t>Início</t>
  </si>
  <si>
    <t>Fim</t>
  </si>
  <si>
    <t>Ativo no mês</t>
  </si>
  <si>
    <t>Observações</t>
  </si>
  <si>
    <t>Parcela do terreno</t>
  </si>
  <si>
    <t>Boleto</t>
  </si>
  <si>
    <t>Moradia e contas</t>
  </si>
  <si>
    <t>38/120</t>
  </si>
  <si>
    <t>Sim</t>
  </si>
  <si>
    <t>Loteadora; reajuste anual pelo IPCA</t>
  </si>
  <si>
    <t>Academia</t>
  </si>
  <si>
    <t>Metas de economia com progresso, aporte planejado e aporte necessário.</t>
  </si>
  <si>
    <t>Meta</t>
  </si>
  <si>
    <t>Alvo</t>
  </si>
  <si>
    <t>Guardado</t>
  </si>
  <si>
    <t>Falta</t>
  </si>
  <si>
    <t>Progresso</t>
  </si>
  <si>
    <t>Data alvo</t>
  </si>
  <si>
    <t>Meses restantes</t>
  </si>
  <si>
    <t>Aporte planejado</t>
  </si>
  <si>
    <t>Aporte necessário</t>
  </si>
  <si>
    <t>No ritmo</t>
  </si>
  <si>
    <t>Entrada do carro</t>
  </si>
  <si>
    <t>Não</t>
  </si>
  <si>
    <t>Orçamento</t>
  </si>
  <si>
    <t>Categorias de orçamento: teto mensal contra o gasto real em cada mês do período.</t>
  </si>
  <si>
    <t>Mês</t>
  </si>
  <si>
    <t>Teto mensal</t>
  </si>
  <si>
    <t>Gasto</t>
  </si>
  <si>
    <t>Sobra do teto</t>
  </si>
  <si>
    <t>Uso do teto</t>
  </si>
  <si>
    <t>Mês parcial</t>
  </si>
  <si>
    <t>Mercado</t>
  </si>
  <si>
    <t>Essencial</t>
  </si>
  <si>
    <t>Delivery e restaurantes</t>
  </si>
  <si>
    <t>Discricionário</t>
  </si>
  <si>
    <t>Sem categoria de orçamento</t>
  </si>
  <si>
    <t>• Sobra do teto = teto − gasto (negativo = estourou).</t>
  </si>
  <si>
    <t>• Mercado: Mercado.</t>
  </si>
  <si>
    <t>• Delivery e restaurantes: Delivery, Restaurantes.</t>
  </si>
  <si>
    <t>Projeção</t>
  </si>
  <si>
    <t>Projeção dos próximos 6 meses: renda esperada, compromissos, aportes e gasto variável.</t>
  </si>
  <si>
    <t>Renda esperada</t>
  </si>
  <si>
    <t>Compromissos</t>
  </si>
  <si>
    <t>Aportes em metas</t>
  </si>
  <si>
    <t>Gasto variável esperado</t>
  </si>
  <si>
    <t>Saldo projetado</t>
  </si>
  <si>
    <t>• Renda média dos 3 últimos meses fechados − compromissos ativos no mês − aportes das metas ainda não atingidas − gasto variável médio (gasto total médio menos os compromissos).</t>
  </si>
  <si>
    <t>Fluxo de caixa</t>
  </si>
  <si>
    <t>Entradas, saídas e saldo de cada mês do período.</t>
  </si>
  <si>
    <t>Parcial</t>
  </si>
  <si>
    <t>Saídas</t>
  </si>
  <si>
    <t>Pagamentos de fatura</t>
  </si>
  <si>
    <t>Transferências p/ contas próprias</t>
  </si>
  <si>
    <t>• Saídas = gastos (compras no cartão na data da compra). Pagamentos de fatura e transferências para contas próprias ficam à parte e não entram no saldo.</t>
  </si>
  <si>
    <t>Gastos por categoria</t>
  </si>
  <si>
    <t>Total gasto por categoria no período, com número de transações e participação.</t>
  </si>
  <si>
    <t>Total gasto</t>
  </si>
  <si>
    <t>Transações</t>
  </si>
  <si>
    <t>% do total</t>
  </si>
  <si>
    <t>Média mensal</t>
  </si>
  <si>
    <t>Moradia</t>
  </si>
  <si>
    <t>Delivery</t>
  </si>
  <si>
    <t>Streaming de vídeo</t>
  </si>
  <si>
    <t>Sem categoria</t>
  </si>
  <si>
    <t>• Média mensal sobre 3 meses do período. Pagamento de fatura e transferência própria não entram.</t>
  </si>
  <si>
    <t>Recorrências</t>
  </si>
  <si>
    <t>Cobranças que se repetem: assinaturas, contas fixas, hábitos frequentes e parcelamentos.</t>
  </si>
  <si>
    <t>Descrição</t>
  </si>
  <si>
    <t>Contraparte</t>
  </si>
  <si>
    <t>Padrão</t>
  </si>
  <si>
    <t>Cobranças</t>
  </si>
  <si>
    <t>Meses</t>
  </si>
  <si>
    <t>Valor típico</t>
  </si>
  <si>
    <t>Último valor</t>
  </si>
  <si>
    <t>Última cobrança</t>
  </si>
  <si>
    <t>Custo mensal</t>
  </si>
  <si>
    <t>Custo anual</t>
  </si>
  <si>
    <t>Parcela</t>
  </si>
  <si>
    <t>Parcela terreno</t>
  </si>
  <si>
    <t>Loteadora Exemplo</t>
  </si>
  <si>
    <t>Assinatura ou conta fixa</t>
  </si>
  <si>
    <t>Delivery Exemplo</t>
  </si>
  <si>
    <t>Hábito frequente</t>
  </si>
  <si>
    <t>Streaming Exemplo</t>
  </si>
  <si>
    <t>Loja Exemplo</t>
  </si>
  <si>
    <t>Compras</t>
  </si>
  <si>
    <t>Parcelamento</t>
  </si>
  <si>
    <t>3/10</t>
  </si>
  <si>
    <t>• Analisado de 01/05/2026 a 23/10/2026: mesma origem com gasto em pelo menos 3 meses diferentes. "Ativa" = cobrada nos últimos 40 dias.</t>
  </si>
  <si>
    <t>• Custo mensal estimado das recorrências ativas (sem parcelamentos): R$ 2.993,02.</t>
  </si>
  <si>
    <t>Todas as transações do período, com conta, categoria, forma de pagamento, parcela e status.</t>
  </si>
  <si>
    <t>Data</t>
  </si>
  <si>
    <t>Conta</t>
  </si>
  <si>
    <t>Categoria original</t>
  </si>
  <si>
    <t>Status</t>
  </si>
  <si>
    <t>Interna</t>
  </si>
  <si>
    <t>Valor</t>
  </si>
  <si>
    <t>Salário</t>
  </si>
  <si>
    <t>Empresa Exemplo Ltda</t>
  </si>
  <si>
    <t>TED</t>
  </si>
  <si>
    <t>Efetivada</t>
  </si>
  <si>
    <t>Receita</t>
  </si>
  <si>
    <t>Aporte entrada do carro</t>
  </si>
  <si>
    <t>Transferência para poupança</t>
  </si>
  <si>
    <t>Outra</t>
  </si>
  <si>
    <t>Transferência própria</t>
  </si>
  <si>
    <t>Supermercado 8</t>
  </si>
  <si>
    <t>Mercado Exemplo</t>
  </si>
  <si>
    <t>Pix</t>
  </si>
  <si>
    <t>Supermercado 9</t>
  </si>
  <si>
    <t>Supermercado 10</t>
  </si>
  <si>
    <t>1/10</t>
  </si>
  <si>
    <t>Supermercado 11</t>
  </si>
  <si>
    <t>Supermercado 12</t>
  </si>
  <si>
    <t>Supermercado 13</t>
  </si>
  <si>
    <t>Pagamento fatura cartão</t>
  </si>
  <si>
    <t>Pagamento de fatura</t>
  </si>
  <si>
    <t>Supermercado 14</t>
  </si>
  <si>
    <t>Supermercado 15</t>
  </si>
  <si>
    <t>Supermercado 16</t>
  </si>
  <si>
    <t>Supermercado 17</t>
  </si>
  <si>
    <t>Supermercado 18</t>
  </si>
  <si>
    <t>Supermercado 19</t>
  </si>
  <si>
    <t>Supermercado 20</t>
  </si>
  <si>
    <t>Supermercado 21</t>
  </si>
  <si>
    <t>Supermercado 22</t>
  </si>
  <si>
    <t>Supermercado 23</t>
  </si>
  <si>
    <t>Supermercado 24</t>
  </si>
  <si>
    <t>Supermercado 25</t>
  </si>
  <si>
    <t>Supermercado 26</t>
  </si>
  <si>
    <t>Supermercado 27</t>
  </si>
  <si>
    <t>Supermercado 28</t>
  </si>
  <si>
    <t>Supermercado 29</t>
  </si>
  <si>
    <t>Supermercado 30</t>
  </si>
  <si>
    <t>Supermercado 31</t>
  </si>
  <si>
    <t>Padaria "Pão; Café | Cia"</t>
  </si>
  <si>
    <t>Restaurantes</t>
  </si>
  <si>
    <t>Supermercado 32</t>
  </si>
  <si>
    <t>=HYPERLINK("x")</t>
  </si>
  <si>
    <t>Supermercado 33</t>
  </si>
  <si>
    <t>Supermercado 34</t>
  </si>
  <si>
    <t>Supermercado 35</t>
  </si>
  <si>
    <t>Supermercado 36</t>
  </si>
  <si>
    <t>Supermercado 37</t>
  </si>
  <si>
    <t>Supermercado 38</t>
  </si>
  <si>
    <t>Supermercado 39</t>
  </si>
  <si>
    <t>Supermercado 40</t>
  </si>
  <si>
    <t>Supermercado 41</t>
  </si>
  <si>
    <t>Supermercado 42</t>
  </si>
  <si>
    <t>Supermercado 43</t>
  </si>
  <si>
    <t>Supermercado 44</t>
  </si>
  <si>
    <t>Supermercado 45</t>
  </si>
  <si>
    <t>Supermercado 46</t>
  </si>
  <si>
    <t>Supermercado 47</t>
  </si>
  <si>
    <t>Supermercado 48</t>
  </si>
  <si>
    <t>Supermercado 49</t>
  </si>
  <si>
    <t>Supermercado 50</t>
  </si>
  <si>
    <t>Supermercado 51</t>
  </si>
  <si>
    <t>Supermercado 52</t>
  </si>
  <si>
    <t>Supermercado 53</t>
  </si>
  <si>
    <t>Supermercado 54</t>
  </si>
  <si>
    <t>Supermercado 55</t>
  </si>
  <si>
    <t>Supermercado 56</t>
  </si>
  <si>
    <t>Supermercado 57</t>
  </si>
  <si>
    <t>Supermercado 58</t>
  </si>
  <si>
    <t>Supermercado 59</t>
  </si>
  <si>
    <t>Açaí da Esquina</t>
  </si>
  <si>
    <t>Açaí da Esquina Ltda</t>
  </si>
  <si>
    <t>Pendente</t>
  </si>
  <si>
    <t>Total (linhas visíveis)</t>
  </si>
  <si>
    <t>Análise do Claude</t>
  </si>
  <si>
    <t>A última análise salva pelo Claude (manchete, resumo e sugestões), se houver.</t>
  </si>
  <si>
    <t>Gerada em</t>
  </si>
  <si>
    <t>20/10/2026 10:00</t>
  </si>
  <si>
    <t>Origem</t>
  </si>
  <si>
    <t>Seu Claude (MCP)</t>
  </si>
  <si>
    <t>Modelo</t>
  </si>
  <si>
    <t>claude-opus-5-5</t>
  </si>
  <si>
    <t>Período analisado</t>
  </si>
  <si>
    <t>01/07/2026 a 30/09/2026</t>
  </si>
  <si>
    <t>Manchete</t>
  </si>
  <si>
    <t>Delivery e assinaturas levam R$ 700 por mês; dá para guardar mais.</t>
  </si>
  <si>
    <t>Gasto fixo por mês</t>
  </si>
  <si>
    <t>Gasto discricionário por mês</t>
  </si>
  <si>
    <t>Economia potencial por mês</t>
  </si>
  <si>
    <t>Resumo</t>
  </si>
  <si>
    <t xml:space="preserve">Você fechou setembro no vermelho por causa do delivery e de compras parceladas.
A parcela do terreno é o maior gasto fixo; o resto é discricionário.</t>
  </si>
  <si>
    <t>Sugestões</t>
  </si>
  <si>
    <t>Título</t>
  </si>
  <si>
    <t>Explicação</t>
  </si>
  <si>
    <t>Economia mensal</t>
  </si>
  <si>
    <t>Confiança</t>
  </si>
  <si>
    <t>Evidência</t>
  </si>
  <si>
    <t>Gasto do pecado</t>
  </si>
  <si>
    <t>Delivery 2x por semana</t>
  </si>
  <si>
    <t>São 8 pedidos por mês, média de R$ 79,63. Cortar pela metade economiza.</t>
  </si>
  <si>
    <t>Alta</t>
  </si>
  <si>
    <t>Delivery: 24 transações, R$ 1.911,35 (01/07/2026 a 30/09/2026)</t>
  </si>
  <si>
    <t>Vazamento</t>
  </si>
  <si>
    <t>Streaming sem uso</t>
  </si>
  <si>
    <t>Assinatura ativa há 6 meses.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</si>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</sst>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R$&quot; #,##0.00;[Red]-&quot;R$&quot; #,##0.00"/>
    <numFmt numFmtId="165" formatCode="0.0%"/>
    <numFmt numFmtId="166" formatCode="dd/mm/yyyy hh:mm"/>
    <numFmt numFmtId="167" formatCode="dd/mm/yyyy"/>
    <numFmt numFmtId="168" formatCode="mm/yyyy"/>
  </numFmts>
  <fonts count="7" x14ac:knownFonts="1">
    <font>
      <color theme="1"/>
      <family val="2"/>
      <scheme val="minor"/>
      <sz val="11"/>
      <name val="Calibri"/>
    </font>
    <font>
      <b/>
      <color rgb="FF1F4E5F"/>
      <sz val="16"/>
    </font>
    <font>
      <i/>
      <color rgb="FF5F6B70"/>
    </font>
    <font>
      <b/>
      <sz val="12"/>
    </font>
    <font>
      <b/>
    </font>
    <font>
      <b/>
      <color rgb="FFFFFFFF"/>
    </font>
    <font>
      <color rgb="FF9A5B00"/>
    </font>
  </fonts>
  <fills count="4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E8EEF0"/>
      </patternFill>
    </fill>
  </fills>
  <borders count="2">
    <border>
      <left/>
      <right/>
      <top/>
      <bottom/>
      <diagonal/>
    </border>
    <border>
      <left/>
      <right/>
      <top style="thin">
        <color rgb="FF5F6B7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right" vertical="center" wrapText="1"/>
    </xf>
    <xf numFmtId="166" fontId="0" fillId="0" borderId="0" xfId="0" applyNumberFormat="1"/>
    <xf numFmtId="0" fontId="6" fillId="0" borderId="0" xfId="0" applyFont="1"/>
    <xf numFmtId="167" fontId="0" fillId="0" borderId="0" xfId="0" applyNumberFormat="1"/>
    <xf numFmtId="0" fontId="4" fillId="3" borderId="1" xfId="0" applyFont="1" applyFill="1" applyBorder="1"/>
    <xf numFmtId="164" fontId="4" fillId="3" borderId="1" xfId="0" applyNumberFormat="1" applyFont="1" applyFill="1" applyBorder="1"/>
    <xf numFmtId="3" fontId="4" fillId="3" borderId="1" xfId="0" applyNumberFormat="1" applyFont="1" applyFill="1" applyBorder="1"/>
    <xf numFmtId="168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2"/>
  <sheetFormatPr defaultRowHeight="15" outlineLevelRow="0" outlineLevelCol="0" x14ac:dyDescent="55"/>
  <cols>
    <col min="1" max="1" width="48" customWidth="1"/>
    <col min="2" max="2" width="39" customWidth="1"/>
    <col min="3" max="3" width="18" customWidth="1"/>
  </cols>
  <sheetData>
    <row r="1" ht="24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1" x14ac:dyDescent="0.25">
      <c r="A5" s="3" t="s">
        <v>3</v>
      </c>
    </row>
    <row r="6" spans="1:2" x14ac:dyDescent="0.25">
      <c r="A6" s="4" t="s">
        <v>4</v>
      </c>
      <c r="B6" t="s">
        <v>5</v>
      </c>
    </row>
    <row r="7" spans="1:2" x14ac:dyDescent="0.25">
      <c r="A7" s="4" t="s">
        <v>6</v>
      </c>
      <c r="B7" t="s">
        <v>7</v>
      </c>
    </row>
    <row r="8" spans="1:2" x14ac:dyDescent="0.25">
      <c r="A8" s="4" t="s">
        <v>8</v>
      </c>
      <c r="B8" t="s">
        <v>9</v>
      </c>
    </row>
    <row r="10" spans="1:1" x14ac:dyDescent="0.25">
      <c r="A10" s="3" t="s">
        <v>10</v>
      </c>
    </row>
    <row r="11" spans="1:2" x14ac:dyDescent="0.25">
      <c r="A11" s="4" t="s">
        <v>11</v>
      </c>
      <c r="B11" s="5">
        <v>20950.32</v>
      </c>
    </row>
    <row r="12" spans="1:2" x14ac:dyDescent="0.25">
      <c r="A12" s="4" t="s">
        <v>12</v>
      </c>
      <c r="B12" s="5">
        <v>4312.48</v>
      </c>
    </row>
    <row r="13" spans="1:2" x14ac:dyDescent="0.25">
      <c r="A13" s="4" t="s">
        <v>13</v>
      </c>
      <c r="B13" s="5">
        <v>16637.84</v>
      </c>
    </row>
    <row r="14" spans="1:2" x14ac:dyDescent="0.25">
      <c r="A14" s="4" t="s">
        <v>14</v>
      </c>
      <c r="B14" s="5">
        <v>23000</v>
      </c>
    </row>
    <row r="15" spans="1:2" x14ac:dyDescent="0.25">
      <c r="A15" s="4" t="s">
        <v>15</v>
      </c>
      <c r="B15" s="5">
        <v>18687.52</v>
      </c>
    </row>
    <row r="16" spans="1:2" x14ac:dyDescent="0.25">
      <c r="A16" s="4" t="s">
        <v>16</v>
      </c>
      <c r="B16" s="5">
        <v>3150</v>
      </c>
    </row>
    <row r="17" spans="1:2" x14ac:dyDescent="0.25">
      <c r="A17" s="4" t="s">
        <v>17</v>
      </c>
      <c r="B17" s="5">
        <v>18420.77</v>
      </c>
    </row>
    <row r="18" spans="1:2" x14ac:dyDescent="0.25">
      <c r="A18" s="4" t="s">
        <v>18</v>
      </c>
      <c r="B18" s="5">
        <v>2300</v>
      </c>
    </row>
    <row r="20" spans="1:1" x14ac:dyDescent="0.25">
      <c r="A20" s="3" t="s">
        <v>19</v>
      </c>
    </row>
    <row r="21" spans="1:2" x14ac:dyDescent="0.25">
      <c r="A21" s="4" t="s">
        <v>20</v>
      </c>
      <c r="B21" s="5">
        <v>27000</v>
      </c>
    </row>
    <row r="22" spans="1:2" x14ac:dyDescent="0.25">
      <c r="A22" s="4" t="s">
        <v>21</v>
      </c>
      <c r="B22" s="5">
        <v>-21345.67</v>
      </c>
    </row>
    <row r="23" spans="1:2" x14ac:dyDescent="0.25">
      <c r="A23" s="4" t="s">
        <v>22</v>
      </c>
      <c r="B23" s="5">
        <v>5654.33</v>
      </c>
    </row>
    <row r="24" spans="1:2" x14ac:dyDescent="0.25">
      <c r="A24" s="4" t="s">
        <v>23</v>
      </c>
      <c r="B24" s="6">
        <v>0.20941962962962962</v>
      </c>
    </row>
    <row r="25" spans="1:2" x14ac:dyDescent="0.25">
      <c r="A25" s="4" t="s">
        <v>24</v>
      </c>
      <c r="B25" s="5">
        <v>-9120</v>
      </c>
    </row>
    <row r="26" spans="1:2" x14ac:dyDescent="0.25">
      <c r="A26" s="4" t="s">
        <v>25</v>
      </c>
      <c r="B26" s="5">
        <v>-4500</v>
      </c>
    </row>
    <row r="28" spans="1:1" x14ac:dyDescent="0.25">
      <c r="A28" s="3" t="s">
        <v>26</v>
      </c>
    </row>
    <row r="29" spans="1:2" x14ac:dyDescent="0.25">
      <c r="A29" s="4" t="s">
        <v>27</v>
      </c>
      <c r="B29" s="7">
        <v>2</v>
      </c>
    </row>
    <row r="30" spans="1:2" x14ac:dyDescent="0.25">
      <c r="A30" s="4" t="s">
        <v>28</v>
      </c>
      <c r="B30" s="7">
        <v>2</v>
      </c>
    </row>
    <row r="31" spans="1:2" x14ac:dyDescent="0.25">
      <c r="A31" s="4" t="s">
        <v>29</v>
      </c>
      <c r="B31" s="7">
        <v>2</v>
      </c>
    </row>
    <row r="32" spans="1:2" x14ac:dyDescent="0.25">
      <c r="A32" s="4" t="s">
        <v>30</v>
      </c>
      <c r="B32" s="7">
        <v>60</v>
      </c>
    </row>
    <row r="33" spans="1:2" x14ac:dyDescent="0.25">
      <c r="A33" s="4" t="s">
        <v>31</v>
      </c>
      <c r="B33" s="7">
        <v>4</v>
      </c>
    </row>
    <row r="34" spans="1:2" x14ac:dyDescent="0.25">
      <c r="A34" s="4" t="s">
        <v>32</v>
      </c>
      <c r="B34" s="7">
        <v>2</v>
      </c>
    </row>
    <row r="35" spans="1:2" x14ac:dyDescent="0.25">
      <c r="A35" s="4" t="s">
        <v>33</v>
      </c>
      <c r="B35" s="7">
        <v>1</v>
      </c>
    </row>
    <row r="36" spans="1:2" x14ac:dyDescent="0.25">
      <c r="A36" s="4" t="s">
        <v>34</v>
      </c>
      <c r="B36" s="7">
        <v>2</v>
      </c>
    </row>
    <row r="37" spans="1:2" x14ac:dyDescent="0.25">
      <c r="A37" s="4" t="s">
        <v>35</v>
      </c>
      <c r="B37" s="7">
        <v>1</v>
      </c>
    </row>
    <row r="39" spans="1:1" x14ac:dyDescent="0.25">
      <c r="A39" s="3" t="s">
        <v>36</v>
      </c>
    </row>
    <row r="40" ht="30" customHeight="1" spans="1:3" x14ac:dyDescent="0.25">
      <c r="A40" s="8" t="s">
        <v>37</v>
      </c>
      <c r="B40" s="8" t="s">
        <v>38</v>
      </c>
      <c r="C40" s="9" t="s">
        <v>39</v>
      </c>
    </row>
    <row r="41" spans="1:3" x14ac:dyDescent="0.25">
      <c r="A41" t="s">
        <v>40</v>
      </c>
      <c r="B41" t="s">
        <v>41</v>
      </c>
      <c r="C41" s="10">
        <v>46318.58206018519</v>
      </c>
    </row>
    <row r="42" spans="1:3" x14ac:dyDescent="0.25">
      <c r="A42" t="s">
        <v>42</v>
      </c>
      <c r="B42" t="s">
        <v>43</v>
      </c>
      <c r="C42" s="10">
        <v>46307.25</v>
      </c>
    </row>
    <row r="44" spans="1:1" x14ac:dyDescent="0.25">
      <c r="A44" s="3" t="s">
        <v>44</v>
      </c>
    </row>
    <row r="45" spans="1:1" x14ac:dyDescent="0.25">
      <c r="A45" s="11" t="s">
        <v>45</v>
      </c>
    </row>
    <row r="47" spans="1:1" x14ac:dyDescent="0.25">
      <c r="A47" s="3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9" customWidth="1"/>
    <col min="3" max="3" width="18" customWidth="1"/>
    <col min="5" max="5" width="14" customWidth="1"/>
    <col min="6" max="6" width="13" customWidth="1"/>
    <col min="7" max="9" width="14" customWidth="1"/>
    <col min="10" max="10" width="20" customWidth="1"/>
  </cols>
  <sheetData>
    <row r="1" ht="24" customHeight="1" spans="1:1" x14ac:dyDescent="0.25">
      <c r="A1" s="1" t="s">
        <v>28</v>
      </c>
    </row>
    <row r="2" spans="1:1" x14ac:dyDescent="0.25">
      <c r="A2" s="2" t="s">
        <v>52</v>
      </c>
    </row>
    <row r="3" spans="1:1" x14ac:dyDescent="0.25">
      <c r="A3" s="2" t="s">
        <v>2</v>
      </c>
    </row>
    <row r="5" ht="30" customHeight="1" spans="1:10" x14ac:dyDescent="0.25">
      <c r="A5" s="8" t="s">
        <v>37</v>
      </c>
      <c r="B5" s="8" t="s">
        <v>53</v>
      </c>
      <c r="C5" s="8" t="s">
        <v>54</v>
      </c>
      <c r="D5" s="8" t="s">
        <v>55</v>
      </c>
      <c r="E5" s="9" t="s">
        <v>56</v>
      </c>
      <c r="F5" s="9" t="s">
        <v>57</v>
      </c>
      <c r="G5" s="9" t="s">
        <v>58</v>
      </c>
      <c r="H5" s="9" t="s">
        <v>59</v>
      </c>
      <c r="I5" s="9" t="s">
        <v>60</v>
      </c>
      <c r="J5" s="8" t="s">
        <v>61</v>
      </c>
    </row>
    <row r="6" spans="1:10" x14ac:dyDescent="0.25">
      <c r="A6" t="s">
        <v>40</v>
      </c>
      <c r="B6" t="s">
        <v>62</v>
      </c>
      <c r="C6" t="s">
        <v>62</v>
      </c>
      <c r="D6" t="s">
        <v>63</v>
      </c>
      <c r="E6" s="5">
        <v>8450.32</v>
      </c>
      <c r="I6" s="12">
        <v>46318</v>
      </c>
      <c r="J6" t="s">
        <v>41</v>
      </c>
    </row>
    <row r="7" spans="1:10" x14ac:dyDescent="0.25">
      <c r="A7" t="s">
        <v>40</v>
      </c>
      <c r="B7" t="s">
        <v>64</v>
      </c>
      <c r="C7" t="s">
        <v>64</v>
      </c>
      <c r="D7" t="s">
        <v>65</v>
      </c>
      <c r="E7" s="5">
        <v>12500</v>
      </c>
      <c r="I7" s="12">
        <v>46318</v>
      </c>
      <c r="J7" t="s">
        <v>41</v>
      </c>
    </row>
    <row r="8" spans="1:10" x14ac:dyDescent="0.25">
      <c r="A8" t="s">
        <v>42</v>
      </c>
      <c r="B8" t="s">
        <v>66</v>
      </c>
      <c r="C8" t="s">
        <v>67</v>
      </c>
      <c r="D8" t="s">
        <v>68</v>
      </c>
      <c r="F8" s="5">
        <v>3124.8</v>
      </c>
      <c r="G8" s="5">
        <v>15000</v>
      </c>
      <c r="H8" s="5">
        <v>11875.2</v>
      </c>
      <c r="I8" s="12">
        <v>46307</v>
      </c>
      <c r="J8" t="s">
        <v>43</v>
      </c>
    </row>
    <row r="9" spans="1:10" x14ac:dyDescent="0.25">
      <c r="A9" t="s">
        <v>42</v>
      </c>
      <c r="B9" t="s">
        <v>66</v>
      </c>
      <c r="C9" t="s">
        <v>69</v>
      </c>
      <c r="D9" t="s">
        <v>70</v>
      </c>
      <c r="F9" s="5">
        <v>1187.68</v>
      </c>
      <c r="G9" s="5">
        <v>8000</v>
      </c>
      <c r="H9" s="5">
        <v>6812.32</v>
      </c>
      <c r="I9" s="12">
        <v>46307</v>
      </c>
      <c r="J9" t="s">
        <v>43</v>
      </c>
    </row>
    <row r="10" spans="1:10" x14ac:dyDescent="0.25">
      <c r="A10" s="13" t="s">
        <v>71</v>
      </c>
      <c r="B10" s="13"/>
      <c r="C10" s="13"/>
      <c r="D10" s="13"/>
      <c r="E10" s="14">
        <f>SUM(E6:E9)</f>
        <v>20950.32</v>
      </c>
      <c r="F10" s="14">
        <f>SUM(F6:F9)</f>
        <v>4312.48</v>
      </c>
      <c r="G10" s="14">
        <f>SUM(G6:G9)</f>
        <v>23000</v>
      </c>
      <c r="H10" s="14">
        <f>SUM(H6:H9)</f>
        <v>18687.52</v>
      </c>
      <c r="I10" s="13"/>
      <c r="J10" s="13"/>
    </row>
  </sheetData>
  <autoFilter ref="A5:J9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8" customWidth="1"/>
    <col min="4" max="4" width="14" customWidth="1"/>
    <col min="5" max="5" width="13" customWidth="1"/>
    <col min="6" max="6" width="14" customWidth="1"/>
    <col min="7" max="7" width="8" customWidth="1"/>
    <col min="8" max="8" width="13" customWidth="1"/>
    <col min="9" max="10" width="12" customWidth="1"/>
  </cols>
  <sheetData>
    <row r="1" ht="24" customHeight="1" spans="1:1" x14ac:dyDescent="0.25">
      <c r="A1" s="1" t="s">
        <v>72</v>
      </c>
    </row>
    <row r="2" spans="1:1" x14ac:dyDescent="0.25">
      <c r="A2" s="2" t="s">
        <v>73</v>
      </c>
    </row>
    <row r="3" spans="1:1" x14ac:dyDescent="0.25">
      <c r="A3" s="2" t="s">
        <v>2</v>
      </c>
    </row>
    <row r="5" ht="30" customHeight="1" spans="1:10" x14ac:dyDescent="0.25">
      <c r="A5" s="8" t="s">
        <v>37</v>
      </c>
      <c r="B5" s="8" t="s">
        <v>74</v>
      </c>
      <c r="C5" s="8" t="s">
        <v>75</v>
      </c>
      <c r="D5" s="9" t="s">
        <v>58</v>
      </c>
      <c r="E5" s="9" t="s">
        <v>76</v>
      </c>
      <c r="F5" s="9" t="s">
        <v>59</v>
      </c>
      <c r="G5" s="9" t="s">
        <v>77</v>
      </c>
      <c r="H5" s="9" t="s">
        <v>78</v>
      </c>
      <c r="I5" s="9" t="s">
        <v>79</v>
      </c>
      <c r="J5" s="9" t="s">
        <v>80</v>
      </c>
    </row>
    <row r="6" spans="1:10" x14ac:dyDescent="0.25">
      <c r="A6" t="s">
        <v>42</v>
      </c>
      <c r="B6" t="s">
        <v>67</v>
      </c>
      <c r="C6" t="s">
        <v>68</v>
      </c>
      <c r="D6" s="5">
        <v>15000</v>
      </c>
      <c r="E6" s="5">
        <v>3124.8</v>
      </c>
      <c r="F6" s="5">
        <v>11875.2</v>
      </c>
      <c r="G6" s="6">
        <v>0.20832</v>
      </c>
      <c r="H6" s="5">
        <v>3124.8</v>
      </c>
      <c r="I6" s="12">
        <v>46329</v>
      </c>
      <c r="J6" s="12">
        <v>46336</v>
      </c>
    </row>
    <row r="7" spans="1:10" x14ac:dyDescent="0.25">
      <c r="A7" t="s">
        <v>42</v>
      </c>
      <c r="B7" t="s">
        <v>69</v>
      </c>
      <c r="C7" t="s">
        <v>70</v>
      </c>
      <c r="D7" s="5">
        <v>8000</v>
      </c>
      <c r="E7" s="5">
        <v>1187.68</v>
      </c>
      <c r="F7" s="5">
        <v>6812.32</v>
      </c>
      <c r="G7" s="6">
        <v>0.14846</v>
      </c>
    </row>
    <row r="8" spans="1:10" x14ac:dyDescent="0.25">
      <c r="A8" s="13" t="s">
        <v>71</v>
      </c>
      <c r="B8" s="13"/>
      <c r="C8" s="13"/>
      <c r="D8" s="14">
        <f>SUM(D6:D7)</f>
        <v>23000</v>
      </c>
      <c r="E8" s="14">
        <f>SUM(E6:E7)</f>
        <v>4312.48</v>
      </c>
      <c r="F8" s="14">
        <f>SUM(F6:F7)</f>
        <v>18687.52</v>
      </c>
      <c r="G8" s="13"/>
      <c r="H8" s="14">
        <f>SUM(H6:H7)</f>
        <v>3124.8</v>
      </c>
      <c r="I8" s="13"/>
      <c r="J8" s="13"/>
    </row>
  </sheetData>
  <autoFilter ref="A5:J7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4" width="12" customWidth="1"/>
    <col min="5" max="5" width="13" customWidth="1"/>
    <col min="6" max="7" width="11" customWidth="1"/>
  </cols>
  <sheetData>
    <row r="1" ht="24" customHeight="1" spans="1:1" x14ac:dyDescent="0.25">
      <c r="A1" s="1" t="s">
        <v>31</v>
      </c>
    </row>
    <row r="2" spans="1:1" x14ac:dyDescent="0.25">
      <c r="A2" s="2" t="s">
        <v>81</v>
      </c>
    </row>
    <row r="3" spans="1:1" x14ac:dyDescent="0.25">
      <c r="A3" s="2" t="s">
        <v>2</v>
      </c>
    </row>
    <row r="5" ht="30" customHeight="1" spans="1:7" x14ac:dyDescent="0.25">
      <c r="A5" s="8" t="s">
        <v>37</v>
      </c>
      <c r="B5" s="8" t="s">
        <v>74</v>
      </c>
      <c r="C5" s="9" t="s">
        <v>82</v>
      </c>
      <c r="D5" s="9" t="s">
        <v>83</v>
      </c>
      <c r="E5" s="9" t="s">
        <v>71</v>
      </c>
      <c r="F5" s="9" t="s">
        <v>84</v>
      </c>
      <c r="G5" s="8" t="s">
        <v>85</v>
      </c>
    </row>
    <row r="6" spans="1:7" x14ac:dyDescent="0.25">
      <c r="A6" t="s">
        <v>42</v>
      </c>
      <c r="B6" t="s">
        <v>67</v>
      </c>
      <c r="C6" s="12">
        <v>46329</v>
      </c>
      <c r="D6" s="12">
        <v>46336</v>
      </c>
      <c r="E6" s="5">
        <v>3124.8</v>
      </c>
      <c r="F6" s="5">
        <v>468.72</v>
      </c>
      <c r="G6" t="s">
        <v>86</v>
      </c>
    </row>
    <row r="7" spans="1:7" x14ac:dyDescent="0.25">
      <c r="A7" t="s">
        <v>42</v>
      </c>
      <c r="B7" t="s">
        <v>67</v>
      </c>
      <c r="C7" s="12">
        <v>46298</v>
      </c>
      <c r="D7" s="12">
        <v>46305</v>
      </c>
      <c r="E7" s="5">
        <v>2987.15</v>
      </c>
      <c r="F7" s="5">
        <v>448.07</v>
      </c>
      <c r="G7" t="s">
        <v>87</v>
      </c>
    </row>
    <row r="8" spans="1:7" x14ac:dyDescent="0.25">
      <c r="A8" t="s">
        <v>42</v>
      </c>
      <c r="B8" t="s">
        <v>67</v>
      </c>
      <c r="C8" s="12">
        <v>46268</v>
      </c>
      <c r="D8" s="12">
        <v>46275</v>
      </c>
      <c r="E8" s="5">
        <v>3301.4</v>
      </c>
      <c r="G8" t="s">
        <v>87</v>
      </c>
    </row>
    <row r="9" spans="1:7" x14ac:dyDescent="0.25">
      <c r="A9" t="s">
        <v>42</v>
      </c>
      <c r="B9" t="s">
        <v>69</v>
      </c>
      <c r="D9" s="12">
        <v>46305</v>
      </c>
      <c r="E9" s="5">
        <v>1045</v>
      </c>
      <c r="G9" t="s">
        <v>87</v>
      </c>
    </row>
    <row r="11" spans="1:1" x14ac:dyDescent="0.25">
      <c r="A11" s="2" t="s">
        <v>88</v>
      </c>
    </row>
  </sheetData>
  <autoFilter ref="A5:G9"/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4" max="4" width="11" customWidth="1"/>
    <col min="5" max="6" width="12" customWidth="1"/>
    <col min="7" max="7" width="11" customWidth="1"/>
    <col min="8" max="8" width="13" customWidth="1"/>
  </cols>
  <sheetData>
    <row r="1" ht="24" customHeight="1" spans="1:1" x14ac:dyDescent="0.25">
      <c r="A1" s="1" t="s">
        <v>89</v>
      </c>
    </row>
    <row r="2" spans="1:1" x14ac:dyDescent="0.25">
      <c r="A2" s="2" t="s">
        <v>90</v>
      </c>
    </row>
    <row r="3" spans="1:1" x14ac:dyDescent="0.25">
      <c r="A3" s="2" t="s">
        <v>2</v>
      </c>
    </row>
    <row r="5" ht="30" customHeight="1" spans="1:8" x14ac:dyDescent="0.25">
      <c r="A5" s="8" t="s">
        <v>91</v>
      </c>
      <c r="B5" s="8" t="s">
        <v>74</v>
      </c>
      <c r="C5" s="8" t="s">
        <v>92</v>
      </c>
      <c r="D5" s="9" t="s">
        <v>93</v>
      </c>
      <c r="E5" s="9" t="s">
        <v>94</v>
      </c>
      <c r="F5" s="9" t="s">
        <v>95</v>
      </c>
      <c r="G5" s="9" t="s">
        <v>96</v>
      </c>
      <c r="H5" s="9" t="s">
        <v>97</v>
      </c>
    </row>
    <row r="6" spans="1:8" x14ac:dyDescent="0.25">
      <c r="A6" t="s">
        <v>98</v>
      </c>
      <c r="B6" t="s">
        <v>67</v>
      </c>
      <c r="C6" t="s">
        <v>99</v>
      </c>
      <c r="D6" s="5">
        <v>450</v>
      </c>
      <c r="E6" s="12">
        <v>46338</v>
      </c>
      <c r="F6" s="12">
        <v>46519</v>
      </c>
      <c r="G6" s="7">
        <v>7</v>
      </c>
      <c r="H6" s="5">
        <v>3150</v>
      </c>
    </row>
    <row r="7" spans="1:8" x14ac:dyDescent="0.25">
      <c r="A7" t="s">
        <v>100</v>
      </c>
      <c r="B7" t="s">
        <v>69</v>
      </c>
      <c r="C7" t="s">
        <v>101</v>
      </c>
      <c r="D7" s="5">
        <v>199.9</v>
      </c>
      <c r="E7" s="12">
        <v>46331</v>
      </c>
      <c r="F7" s="12">
        <v>46331</v>
      </c>
      <c r="G7" s="7">
        <v>1</v>
      </c>
      <c r="H7" s="5">
        <v>199.9</v>
      </c>
    </row>
    <row r="8" spans="1:8" x14ac:dyDescent="0.25">
      <c r="A8" s="13" t="s">
        <v>71</v>
      </c>
      <c r="B8" s="13"/>
      <c r="C8" s="13"/>
      <c r="D8" s="14">
        <f>SUM(D6:D7)</f>
        <v>649.9</v>
      </c>
      <c r="E8" s="13"/>
      <c r="F8" s="13"/>
      <c r="G8" s="15">
        <f>SUM(G6:G7)</f>
        <v>8</v>
      </c>
      <c r="H8" s="14">
        <f>SUM(H6:H7)</f>
        <v>3349.9</v>
      </c>
    </row>
    <row r="10" spans="1:1" x14ac:dyDescent="0.25">
      <c r="A10" s="2" t="s">
        <v>102</v>
      </c>
    </row>
  </sheetData>
  <autoFilter ref="A5:H7"/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7" customWidth="1"/>
    <col min="3" max="3" width="10" customWidth="1"/>
    <col min="4" max="5" width="14" customWidth="1"/>
    <col min="6" max="6" width="10" customWidth="1"/>
    <col min="7" max="9" width="11" customWidth="1"/>
    <col min="10" max="10" width="13" customWidth="1"/>
    <col min="11" max="11" width="12" customWidth="1"/>
    <col min="12" max="12" width="13" customWidth="1"/>
    <col min="13" max="14" width="8" customWidth="1"/>
    <col min="15" max="16" width="12" customWidth="1"/>
    <col min="17" max="17" width="15" customWidth="1"/>
  </cols>
  <sheetData>
    <row r="1" ht="24" customHeight="1" spans="1:1" x14ac:dyDescent="0.25">
      <c r="A1" s="1" t="s">
        <v>33</v>
      </c>
    </row>
    <row r="2" spans="1:1" x14ac:dyDescent="0.25">
      <c r="A2" s="2" t="s">
        <v>103</v>
      </c>
    </row>
    <row r="3" spans="1:1" x14ac:dyDescent="0.25">
      <c r="A3" s="2" t="s">
        <v>2</v>
      </c>
    </row>
    <row r="5" ht="30" customHeight="1" spans="1:17" x14ac:dyDescent="0.25">
      <c r="A5" s="8" t="s">
        <v>37</v>
      </c>
      <c r="B5" s="8" t="s">
        <v>104</v>
      </c>
      <c r="C5" s="8" t="s">
        <v>105</v>
      </c>
      <c r="D5" s="9" t="s">
        <v>106</v>
      </c>
      <c r="E5" s="9" t="s">
        <v>107</v>
      </c>
      <c r="F5" s="9" t="s">
        <v>108</v>
      </c>
      <c r="G5" s="9" t="s">
        <v>109</v>
      </c>
      <c r="H5" s="9" t="s">
        <v>110</v>
      </c>
      <c r="I5" s="9" t="s">
        <v>111</v>
      </c>
      <c r="J5" s="9" t="s">
        <v>93</v>
      </c>
      <c r="K5" s="9" t="s">
        <v>94</v>
      </c>
      <c r="L5" s="9" t="s">
        <v>112</v>
      </c>
      <c r="M5" s="9" t="s">
        <v>113</v>
      </c>
      <c r="N5" s="9" t="s">
        <v>114</v>
      </c>
      <c r="O5" s="9" t="s">
        <v>115</v>
      </c>
      <c r="P5" s="9" t="s">
        <v>116</v>
      </c>
      <c r="Q5" s="8" t="s">
        <v>117</v>
      </c>
    </row>
    <row r="6" spans="1:17" x14ac:dyDescent="0.25">
      <c r="A6" t="s">
        <v>40</v>
      </c>
      <c r="B6" t="s">
        <v>118</v>
      </c>
      <c r="C6" t="s">
        <v>119</v>
      </c>
      <c r="D6" s="5">
        <v>25000</v>
      </c>
      <c r="E6" s="5">
        <v>18420.77</v>
      </c>
      <c r="F6" s="7">
        <v>16</v>
      </c>
      <c r="G6" s="7">
        <v>36</v>
      </c>
      <c r="H6" s="7">
        <v>20</v>
      </c>
      <c r="I6" s="7">
        <v>0</v>
      </c>
      <c r="J6" s="5">
        <v>1032.1</v>
      </c>
      <c r="K6" s="12">
        <v>46341</v>
      </c>
      <c r="L6" s="5">
        <v>1032.1</v>
      </c>
      <c r="M6" s="6">
        <v>0.235</v>
      </c>
      <c r="N6" s="6">
        <v>0.2682</v>
      </c>
      <c r="O6" s="12">
        <v>45823</v>
      </c>
      <c r="P6" s="12">
        <v>46919</v>
      </c>
      <c r="Q6" t="s">
        <v>120</v>
      </c>
    </row>
    <row r="8" spans="1:1" x14ac:dyDescent="0.25">
      <c r="A8" s="2" t="s">
        <v>121</v>
      </c>
    </row>
  </sheetData>
  <autoFilter ref="A5:Q6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3" customWidth="1"/>
    <col min="3" max="3" width="8" customWidth="1"/>
    <col min="4" max="4" width="11" customWidth="1"/>
    <col min="5" max="5" width="18" customWidth="1"/>
    <col min="6" max="7" width="12" customWidth="1"/>
    <col min="8" max="8" width="10" customWidth="1"/>
    <col min="9" max="9" width="11" customWidth="1"/>
    <col min="10" max="10" width="15" customWidth="1"/>
    <col min="11" max="11" width="8" customWidth="1"/>
    <col min="12" max="12" width="37" customWidth="1"/>
  </cols>
  <sheetData>
    <row r="1" ht="24" customHeight="1" spans="1:1" x14ac:dyDescent="0.25">
      <c r="A1" s="1" t="s">
        <v>34</v>
      </c>
    </row>
    <row r="2" spans="1:1" x14ac:dyDescent="0.25">
      <c r="A2" s="2" t="s">
        <v>122</v>
      </c>
    </row>
    <row r="3" spans="1:1" x14ac:dyDescent="0.25">
      <c r="A3" s="2" t="s">
        <v>2</v>
      </c>
    </row>
    <row r="5" ht="30" customHeight="1" spans="1:12" x14ac:dyDescent="0.25">
      <c r="A5" s="8" t="s">
        <v>123</v>
      </c>
      <c r="B5" s="9" t="s">
        <v>124</v>
      </c>
      <c r="C5" s="9" t="s">
        <v>125</v>
      </c>
      <c r="D5" s="8" t="s">
        <v>126</v>
      </c>
      <c r="E5" s="8" t="s">
        <v>127</v>
      </c>
      <c r="F5" s="9" t="s">
        <v>128</v>
      </c>
      <c r="G5" s="9" t="s">
        <v>129</v>
      </c>
      <c r="H5" s="8" t="s">
        <v>108</v>
      </c>
      <c r="I5" s="9" t="s">
        <v>96</v>
      </c>
      <c r="J5" s="9" t="s">
        <v>97</v>
      </c>
      <c r="K5" s="8" t="s">
        <v>130</v>
      </c>
      <c r="L5" s="8" t="s">
        <v>131</v>
      </c>
    </row>
    <row r="6" spans="1:12" x14ac:dyDescent="0.25">
      <c r="A6" t="s">
        <v>132</v>
      </c>
      <c r="B6" s="5">
        <v>2300</v>
      </c>
      <c r="C6" s="7">
        <v>10</v>
      </c>
      <c r="D6" t="s">
        <v>133</v>
      </c>
      <c r="E6" t="s">
        <v>134</v>
      </c>
      <c r="F6" s="12">
        <v>45179</v>
      </c>
      <c r="G6" s="12">
        <v>48801</v>
      </c>
      <c r="H6" t="s">
        <v>135</v>
      </c>
      <c r="I6" s="7">
        <v>82</v>
      </c>
      <c r="J6" s="5">
        <v>188600</v>
      </c>
      <c r="K6" t="s">
        <v>136</v>
      </c>
      <c r="L6" t="s">
        <v>137</v>
      </c>
    </row>
    <row r="7" spans="1:12" x14ac:dyDescent="0.25">
      <c r="A7" t="s">
        <v>138</v>
      </c>
      <c r="B7" s="5">
        <v>129.9</v>
      </c>
      <c r="C7" s="7">
        <v>5</v>
      </c>
      <c r="D7" t="s">
        <v>74</v>
      </c>
      <c r="F7" s="12">
        <v>46027</v>
      </c>
      <c r="K7" t="s">
        <v>136</v>
      </c>
    </row>
    <row r="8" spans="1:12" x14ac:dyDescent="0.25">
      <c r="A8" s="13" t="s">
        <v>71</v>
      </c>
      <c r="B8" s="14">
        <f>SUM(B6:B7)</f>
        <v>2429.9</v>
      </c>
      <c r="C8" s="13"/>
      <c r="D8" s="13"/>
      <c r="E8" s="13"/>
      <c r="F8" s="13"/>
      <c r="G8" s="13"/>
      <c r="H8" s="13"/>
      <c r="I8" s="13"/>
      <c r="J8" s="14">
        <f>SUM(J6:J7)</f>
        <v>188600</v>
      </c>
      <c r="K8" s="13"/>
      <c r="L8" s="13"/>
    </row>
  </sheetData>
  <autoFilter ref="A5:L7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4" customWidth="1"/>
    <col min="5" max="5" width="11" customWidth="1"/>
    <col min="6" max="6" width="12" customWidth="1"/>
    <col min="7" max="7" width="11" customWidth="1"/>
    <col min="8" max="9" width="13" customWidth="1"/>
    <col min="10" max="10" width="8" customWidth="1"/>
  </cols>
  <sheetData>
    <row r="1" ht="24" customHeight="1" spans="1:1" x14ac:dyDescent="0.25">
      <c r="A1" s="1" t="s">
        <v>35</v>
      </c>
    </row>
    <row r="2" spans="1:1" x14ac:dyDescent="0.25">
      <c r="A2" s="2" t="s">
        <v>139</v>
      </c>
    </row>
    <row r="3" spans="1:1" x14ac:dyDescent="0.25">
      <c r="A3" s="2" t="s">
        <v>2</v>
      </c>
    </row>
    <row r="5" ht="30" customHeight="1" spans="1:10" x14ac:dyDescent="0.25">
      <c r="A5" s="8" t="s">
        <v>140</v>
      </c>
      <c r="B5" s="9" t="s">
        <v>141</v>
      </c>
      <c r="C5" s="9" t="s">
        <v>142</v>
      </c>
      <c r="D5" s="9" t="s">
        <v>143</v>
      </c>
      <c r="E5" s="9" t="s">
        <v>144</v>
      </c>
      <c r="F5" s="9" t="s">
        <v>145</v>
      </c>
      <c r="G5" s="9" t="s">
        <v>146</v>
      </c>
      <c r="H5" s="9" t="s">
        <v>147</v>
      </c>
      <c r="I5" s="9" t="s">
        <v>148</v>
      </c>
      <c r="J5" s="8" t="s">
        <v>149</v>
      </c>
    </row>
    <row r="6" spans="1:10" x14ac:dyDescent="0.25">
      <c r="A6" t="s">
        <v>150</v>
      </c>
      <c r="B6" s="5">
        <v>40000</v>
      </c>
      <c r="C6" s="5">
        <v>12500</v>
      </c>
      <c r="D6" s="5">
        <v>27500</v>
      </c>
      <c r="E6" s="6">
        <v>0.3125</v>
      </c>
      <c r="F6" s="12">
        <v>46722</v>
      </c>
      <c r="G6" s="7">
        <v>14</v>
      </c>
      <c r="H6" s="5">
        <v>1500</v>
      </c>
      <c r="I6" s="5">
        <v>1964.29</v>
      </c>
      <c r="J6" t="s">
        <v>151</v>
      </c>
    </row>
  </sheetData>
  <autoFilter ref="A5:J6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6" customWidth="1"/>
    <col min="4" max="5" width="13" customWidth="1"/>
    <col min="6" max="6" width="12" customWidth="1"/>
    <col min="7" max="7" width="8" customWidth="1"/>
  </cols>
  <sheetData>
    <row r="1" ht="24" customHeight="1" spans="1:1" x14ac:dyDescent="0.25">
      <c r="A1" s="1" t="s">
        <v>152</v>
      </c>
    </row>
    <row r="2" spans="1:1" x14ac:dyDescent="0.25">
      <c r="A2" s="2" t="s">
        <v>153</v>
      </c>
    </row>
    <row r="3" spans="1:1" x14ac:dyDescent="0.25">
      <c r="A3" s="2" t="s">
        <v>2</v>
      </c>
    </row>
    <row r="5" ht="30" customHeight="1" spans="1:8" x14ac:dyDescent="0.25">
      <c r="A5" s="9" t="s">
        <v>154</v>
      </c>
      <c r="B5" s="8" t="s">
        <v>127</v>
      </c>
      <c r="C5" s="8" t="s">
        <v>53</v>
      </c>
      <c r="D5" s="9" t="s">
        <v>155</v>
      </c>
      <c r="E5" s="9" t="s">
        <v>156</v>
      </c>
      <c r="F5" s="9" t="s">
        <v>157</v>
      </c>
      <c r="G5" s="9" t="s">
        <v>158</v>
      </c>
      <c r="H5" s="8" t="s">
        <v>159</v>
      </c>
    </row>
    <row r="6" spans="1:8" x14ac:dyDescent="0.25">
      <c r="A6" s="16">
        <v>46235</v>
      </c>
      <c r="B6" t="s">
        <v>160</v>
      </c>
      <c r="C6" t="s">
        <v>161</v>
      </c>
      <c r="D6" s="5">
        <v>1400</v>
      </c>
      <c r="E6" s="5">
        <v>1250</v>
      </c>
      <c r="F6" s="5">
        <v>150</v>
      </c>
      <c r="G6" s="6">
        <v>0.8928571428571429</v>
      </c>
      <c r="H6" t="s">
        <v>151</v>
      </c>
    </row>
    <row r="7" spans="1:8" x14ac:dyDescent="0.25">
      <c r="A7" s="16">
        <v>46235</v>
      </c>
      <c r="B7" t="s">
        <v>162</v>
      </c>
      <c r="C7" t="s">
        <v>163</v>
      </c>
      <c r="D7" s="5">
        <v>600</v>
      </c>
      <c r="E7" s="5">
        <v>720.45</v>
      </c>
      <c r="F7" s="5">
        <v>-120.45</v>
      </c>
      <c r="G7" s="6">
        <v>1.20075</v>
      </c>
      <c r="H7" t="s">
        <v>151</v>
      </c>
    </row>
    <row r="8" spans="1:8" x14ac:dyDescent="0.25">
      <c r="A8" s="16">
        <v>46235</v>
      </c>
      <c r="B8" t="s">
        <v>164</v>
      </c>
      <c r="E8" s="5">
        <v>2100</v>
      </c>
      <c r="H8" t="s">
        <v>151</v>
      </c>
    </row>
    <row r="9" spans="1:8" x14ac:dyDescent="0.25">
      <c r="A9" s="16">
        <v>46266</v>
      </c>
      <c r="B9" t="s">
        <v>160</v>
      </c>
      <c r="C9" t="s">
        <v>161</v>
      </c>
      <c r="D9" s="5">
        <v>1400</v>
      </c>
      <c r="E9" s="5">
        <v>1370</v>
      </c>
      <c r="F9" s="5">
        <v>30</v>
      </c>
      <c r="G9" s="6">
        <v>0.9785714285714285</v>
      </c>
      <c r="H9" t="s">
        <v>151</v>
      </c>
    </row>
    <row r="10" spans="1:8" x14ac:dyDescent="0.25">
      <c r="A10" s="16">
        <v>46266</v>
      </c>
      <c r="B10" t="s">
        <v>162</v>
      </c>
      <c r="C10" t="s">
        <v>163</v>
      </c>
      <c r="D10" s="5">
        <v>600</v>
      </c>
      <c r="E10" s="5">
        <v>670.45</v>
      </c>
      <c r="F10" s="5">
        <v>-70.45</v>
      </c>
      <c r="G10" s="6">
        <v>1.1174166666666667</v>
      </c>
      <c r="H10" t="s">
        <v>151</v>
      </c>
    </row>
    <row r="11" spans="1:8" x14ac:dyDescent="0.25">
      <c r="A11" s="16">
        <v>46266</v>
      </c>
      <c r="B11" t="s">
        <v>164</v>
      </c>
      <c r="E11" s="5">
        <v>2100</v>
      </c>
      <c r="H11" t="s">
        <v>151</v>
      </c>
    </row>
    <row r="12" spans="1:8" x14ac:dyDescent="0.25">
      <c r="A12" s="16">
        <v>46296</v>
      </c>
      <c r="B12" t="s">
        <v>160</v>
      </c>
      <c r="C12" t="s">
        <v>161</v>
      </c>
      <c r="D12" s="5">
        <v>1400</v>
      </c>
      <c r="E12" s="5">
        <v>1490</v>
      </c>
      <c r="F12" s="5">
        <v>-90</v>
      </c>
      <c r="G12" s="6">
        <v>1.0642857142857143</v>
      </c>
      <c r="H12" t="s">
        <v>136</v>
      </c>
    </row>
    <row r="13" spans="1:8" x14ac:dyDescent="0.25">
      <c r="A13" s="16">
        <v>46296</v>
      </c>
      <c r="B13" t="s">
        <v>162</v>
      </c>
      <c r="C13" t="s">
        <v>163</v>
      </c>
      <c r="D13" s="5">
        <v>600</v>
      </c>
      <c r="E13" s="5">
        <v>620.45</v>
      </c>
      <c r="F13" s="5">
        <v>-20.45</v>
      </c>
      <c r="G13" s="6">
        <v>1.0340833333333332</v>
      </c>
      <c r="H13" t="s">
        <v>136</v>
      </c>
    </row>
    <row r="14" spans="1:8" x14ac:dyDescent="0.25">
      <c r="A14" s="16">
        <v>46296</v>
      </c>
      <c r="B14" t="s">
        <v>164</v>
      </c>
      <c r="E14" s="5">
        <v>2100</v>
      </c>
      <c r="H14" t="s">
        <v>136</v>
      </c>
    </row>
    <row r="15" spans="1:8" x14ac:dyDescent="0.25">
      <c r="A15" s="13"/>
      <c r="B15" s="13" t="s">
        <v>71</v>
      </c>
      <c r="C15" s="13"/>
      <c r="D15" s="14">
        <f>SUM(D6:D14)</f>
        <v>6000</v>
      </c>
      <c r="E15" s="14">
        <f>SUM(E6:E14)</f>
        <v>12421.35</v>
      </c>
      <c r="F15" s="14">
        <f>SUM(F6:F14)</f>
        <v>-121.35</v>
      </c>
      <c r="G15" s="13"/>
      <c r="H15" s="13"/>
    </row>
    <row r="17" spans="1:1" x14ac:dyDescent="0.25">
      <c r="A17" s="2" t="s">
        <v>165</v>
      </c>
    </row>
    <row r="18" spans="1:1" x14ac:dyDescent="0.25">
      <c r="A18" s="2" t="s">
        <v>166</v>
      </c>
    </row>
    <row r="19" spans="1:1" x14ac:dyDescent="0.25">
      <c r="A19" s="2" t="s">
        <v>167</v>
      </c>
    </row>
  </sheetData>
  <autoFilter ref="A5:H14"/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5" width="14" customWidth="1"/>
    <col min="6" max="6" width="11" customWidth="1"/>
  </cols>
  <sheetData>
    <row r="1" ht="24" customHeight="1" spans="1:1" x14ac:dyDescent="0.25">
      <c r="A1" s="1" t="s">
        <v>168</v>
      </c>
    </row>
    <row r="2" spans="1:1" x14ac:dyDescent="0.25">
      <c r="A2" s="2" t="s">
        <v>169</v>
      </c>
    </row>
    <row r="3" spans="1:1" x14ac:dyDescent="0.25">
      <c r="A3" s="2" t="s">
        <v>2</v>
      </c>
    </row>
    <row r="5" ht="30" customHeight="1" spans="1:6" x14ac:dyDescent="0.25">
      <c r="A5" s="9" t="s">
        <v>154</v>
      </c>
      <c r="B5" s="9" t="s">
        <v>170</v>
      </c>
      <c r="C5" s="9" t="s">
        <v>171</v>
      </c>
      <c r="D5" s="9" t="s">
        <v>172</v>
      </c>
      <c r="E5" s="9" t="s">
        <v>173</v>
      </c>
      <c r="F5" s="9" t="s">
        <v>174</v>
      </c>
    </row>
    <row r="6" spans="1:6" x14ac:dyDescent="0.25">
      <c r="A6" s="16">
        <v>46327</v>
      </c>
      <c r="B6" s="5">
        <v>9000</v>
      </c>
      <c r="C6" s="5">
        <v>-2429.9</v>
      </c>
      <c r="D6" s="5">
        <v>-1500</v>
      </c>
      <c r="E6" s="5">
        <v>-4120</v>
      </c>
      <c r="F6" s="5">
        <v>950.1</v>
      </c>
    </row>
    <row r="7" spans="1:6" x14ac:dyDescent="0.25">
      <c r="A7" s="16">
        <v>46357</v>
      </c>
      <c r="B7" s="5">
        <v>9000</v>
      </c>
      <c r="C7" s="5">
        <v>-2429.9</v>
      </c>
      <c r="D7" s="5">
        <v>-1500</v>
      </c>
      <c r="E7" s="5">
        <v>-4120</v>
      </c>
      <c r="F7" s="5">
        <v>950.1</v>
      </c>
    </row>
    <row r="8" spans="1:6" x14ac:dyDescent="0.25">
      <c r="A8" s="16">
        <v>46388</v>
      </c>
      <c r="B8" s="5">
        <v>9000</v>
      </c>
      <c r="C8" s="5">
        <v>-2429.9</v>
      </c>
      <c r="D8" s="5">
        <v>-1500</v>
      </c>
      <c r="E8" s="5">
        <v>-4120</v>
      </c>
      <c r="F8" s="5">
        <v>950.1</v>
      </c>
    </row>
    <row r="9" spans="1:6" x14ac:dyDescent="0.25">
      <c r="A9" s="16">
        <v>46419</v>
      </c>
      <c r="B9" s="5">
        <v>9000</v>
      </c>
      <c r="C9" s="5">
        <v>-2429.9</v>
      </c>
      <c r="D9" s="5">
        <v>-1500</v>
      </c>
      <c r="E9" s="5">
        <v>-4120</v>
      </c>
      <c r="F9" s="5">
        <v>950.1</v>
      </c>
    </row>
    <row r="10" spans="1:6" x14ac:dyDescent="0.25">
      <c r="A10" s="16">
        <v>46447</v>
      </c>
      <c r="B10" s="5">
        <v>9000</v>
      </c>
      <c r="C10" s="5">
        <v>-2429.9</v>
      </c>
      <c r="D10" s="5">
        <v>-1500</v>
      </c>
      <c r="E10" s="5">
        <v>-4120</v>
      </c>
      <c r="F10" s="5">
        <v>950.1</v>
      </c>
    </row>
    <row r="11" spans="1:6" x14ac:dyDescent="0.25">
      <c r="A11" s="16">
        <v>46478</v>
      </c>
      <c r="B11" s="5">
        <v>9000</v>
      </c>
      <c r="C11" s="5">
        <v>-2429.9</v>
      </c>
      <c r="D11" s="5">
        <v>-1500</v>
      </c>
      <c r="E11" s="5">
        <v>-4120</v>
      </c>
      <c r="F11" s="5">
        <v>950.1</v>
      </c>
    </row>
    <row r="12" spans="1:6" x14ac:dyDescent="0.25">
      <c r="A12" s="13" t="s">
        <v>71</v>
      </c>
      <c r="B12" s="14">
        <f>SUM(B6:B11)</f>
        <v>54000</v>
      </c>
      <c r="C12" s="14">
        <f>SUM(C6:C11)</f>
        <v>-14579.4</v>
      </c>
      <c r="D12" s="14">
        <f>SUM(D6:D11)</f>
        <v>-9000</v>
      </c>
      <c r="E12" s="14">
        <f>SUM(E6:E11)</f>
        <v>-24720</v>
      </c>
      <c r="F12" s="14">
        <f>SUM(F6:F11)</f>
        <v>5700.6</v>
      </c>
    </row>
    <row r="14" spans="1:1" x14ac:dyDescent="0.25">
      <c r="A14" s="2" t="s">
        <v>175</v>
      </c>
    </row>
  </sheetData>
  <autoFilter ref="A5:F11"/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3" max="3" width="13" customWidth="1"/>
    <col min="4" max="4" width="14" customWidth="1"/>
    <col min="5" max="5" width="13" customWidth="1"/>
    <col min="6" max="6" width="10" customWidth="1"/>
    <col min="7" max="7" width="14" customWidth="1"/>
    <col min="8" max="8" width="19" customWidth="1"/>
  </cols>
  <sheetData>
    <row r="1" ht="24" customHeight="1" spans="1:1" x14ac:dyDescent="0.25">
      <c r="A1" s="1" t="s">
        <v>176</v>
      </c>
    </row>
    <row r="2" spans="1:1" x14ac:dyDescent="0.25">
      <c r="A2" s="2" t="s">
        <v>177</v>
      </c>
    </row>
    <row r="3" spans="1:1" x14ac:dyDescent="0.25">
      <c r="A3" s="2" t="s">
        <v>2</v>
      </c>
    </row>
    <row r="5" ht="30" customHeight="1" spans="1:8" x14ac:dyDescent="0.25">
      <c r="A5" s="9" t="s">
        <v>154</v>
      </c>
      <c r="B5" s="8" t="s">
        <v>178</v>
      </c>
      <c r="C5" s="9" t="s">
        <v>20</v>
      </c>
      <c r="D5" s="9" t="s">
        <v>179</v>
      </c>
      <c r="E5" s="9" t="s">
        <v>56</v>
      </c>
      <c r="F5" s="9" t="s">
        <v>23</v>
      </c>
      <c r="G5" s="9" t="s">
        <v>180</v>
      </c>
      <c r="H5" s="9" t="s">
        <v>181</v>
      </c>
    </row>
    <row r="6" spans="1:8" x14ac:dyDescent="0.25">
      <c r="A6" s="16">
        <v>46235</v>
      </c>
      <c r="B6" t="s">
        <v>151</v>
      </c>
      <c r="C6" s="5">
        <v>9000</v>
      </c>
      <c r="D6" s="5">
        <v>-7345.67</v>
      </c>
      <c r="E6" s="5">
        <v>1654.33</v>
      </c>
      <c r="F6" s="6">
        <v>0.18381444444444445</v>
      </c>
      <c r="G6" s="5">
        <v>-3301.4</v>
      </c>
      <c r="H6" s="5">
        <v>-1500</v>
      </c>
    </row>
    <row r="7" spans="1:8" x14ac:dyDescent="0.25">
      <c r="A7" s="16">
        <v>46266</v>
      </c>
      <c r="B7" t="s">
        <v>151</v>
      </c>
      <c r="C7" s="5">
        <v>9000</v>
      </c>
      <c r="D7" s="5">
        <v>-9600</v>
      </c>
      <c r="E7" s="5">
        <v>-600</v>
      </c>
      <c r="F7" s="6">
        <v>-0.06666666666666667</v>
      </c>
      <c r="G7" s="5">
        <v>-2987.15</v>
      </c>
      <c r="H7" s="5">
        <v>-1500</v>
      </c>
    </row>
    <row r="8" spans="1:8" x14ac:dyDescent="0.25">
      <c r="A8" s="16">
        <v>46296</v>
      </c>
      <c r="B8" t="s">
        <v>136</v>
      </c>
      <c r="C8" s="5">
        <v>9000</v>
      </c>
      <c r="D8" s="5">
        <v>-4400</v>
      </c>
      <c r="E8" s="5">
        <v>4600</v>
      </c>
      <c r="F8" s="6">
        <v>0.5111111111111111</v>
      </c>
      <c r="G8" s="5">
        <v>-2831.45</v>
      </c>
      <c r="H8" s="5">
        <v>-1500</v>
      </c>
    </row>
    <row r="9" spans="1:8" x14ac:dyDescent="0.25">
      <c r="A9" s="13"/>
      <c r="B9" s="13" t="s">
        <v>71</v>
      </c>
      <c r="C9" s="14">
        <f>SUM(C6:C8)</f>
        <v>27000</v>
      </c>
      <c r="D9" s="14">
        <f>SUM(D6:D8)</f>
        <v>-21345.67</v>
      </c>
      <c r="E9" s="14">
        <f>SUM(E6:E8)</f>
        <v>5654.33</v>
      </c>
      <c r="F9" s="13"/>
      <c r="G9" s="14">
        <f>SUM(G6:G8)</f>
        <v>-9120</v>
      </c>
      <c r="H9" s="14">
        <f>SUM(H6:H8)</f>
        <v>-4500</v>
      </c>
    </row>
    <row r="11" spans="1:1" x14ac:dyDescent="0.25">
      <c r="A11" s="2" t="s">
        <v>182</v>
      </c>
    </row>
  </sheetData>
  <autoFilter ref="A5:H8"/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3" customWidth="1"/>
    <col min="3" max="3" width="12" customWidth="1"/>
    <col min="4" max="4" width="8" customWidth="1"/>
    <col min="5" max="5" width="13" customWidth="1"/>
  </cols>
  <sheetData>
    <row r="1" ht="24" customHeight="1" spans="1:1" x14ac:dyDescent="0.25">
      <c r="A1" s="1" t="s">
        <v>183</v>
      </c>
    </row>
    <row r="2" spans="1:1" x14ac:dyDescent="0.25">
      <c r="A2" s="2" t="s">
        <v>184</v>
      </c>
    </row>
    <row r="3" spans="1:1" x14ac:dyDescent="0.25">
      <c r="A3" s="2" t="s">
        <v>2</v>
      </c>
    </row>
    <row r="5" ht="30" customHeight="1" spans="1:5" x14ac:dyDescent="0.25">
      <c r="A5" s="8" t="s">
        <v>127</v>
      </c>
      <c r="B5" s="9" t="s">
        <v>185</v>
      </c>
      <c r="C5" s="9" t="s">
        <v>186</v>
      </c>
      <c r="D5" s="9" t="s">
        <v>187</v>
      </c>
      <c r="E5" s="9" t="s">
        <v>188</v>
      </c>
    </row>
    <row r="6" spans="1:5" x14ac:dyDescent="0.25">
      <c r="A6" t="s">
        <v>189</v>
      </c>
      <c r="B6" s="5">
        <v>6900</v>
      </c>
      <c r="C6" s="7">
        <v>3</v>
      </c>
      <c r="D6" s="6">
        <v>0.32325057025616905</v>
      </c>
      <c r="E6" s="5">
        <v>2300</v>
      </c>
    </row>
    <row r="7" spans="1:5" x14ac:dyDescent="0.25">
      <c r="A7" t="s">
        <v>160</v>
      </c>
      <c r="B7" s="5">
        <v>4110</v>
      </c>
      <c r="C7" s="7">
        <v>12</v>
      </c>
      <c r="D7" s="6">
        <v>0.19254490489171808</v>
      </c>
      <c r="E7" s="5">
        <v>1370</v>
      </c>
    </row>
    <row r="8" spans="1:5" x14ac:dyDescent="0.25">
      <c r="A8" t="s">
        <v>190</v>
      </c>
      <c r="B8" s="5">
        <v>1911.35</v>
      </c>
      <c r="C8" s="7">
        <v>24</v>
      </c>
      <c r="D8" s="6">
        <v>0.08954275035639546</v>
      </c>
      <c r="E8" s="5">
        <v>637.12</v>
      </c>
    </row>
    <row r="9" spans="1:5" x14ac:dyDescent="0.25">
      <c r="A9" t="s">
        <v>191</v>
      </c>
      <c r="B9" s="5">
        <v>167.7</v>
      </c>
      <c r="C9" s="7">
        <v>3</v>
      </c>
      <c r="D9" s="6">
        <v>0.00785639429448689</v>
      </c>
      <c r="E9" s="5">
        <v>55.9</v>
      </c>
    </row>
    <row r="10" spans="1:5" x14ac:dyDescent="0.25">
      <c r="A10" t="s">
        <v>192</v>
      </c>
      <c r="B10" s="5">
        <v>8256.62</v>
      </c>
      <c r="C10" s="7">
        <v>31</v>
      </c>
      <c r="D10" s="6">
        <v>0.3868053802012305</v>
      </c>
      <c r="E10" s="5">
        <v>2752.21</v>
      </c>
    </row>
    <row r="11" spans="1:5" x14ac:dyDescent="0.25">
      <c r="A11" s="13" t="s">
        <v>71</v>
      </c>
      <c r="B11" s="14">
        <f>SUM(B6:B10)</f>
        <v>21345.67</v>
      </c>
      <c r="C11" s="15">
        <f>SUM(C6:C10)</f>
        <v>73</v>
      </c>
      <c r="D11" s="13"/>
      <c r="E11" s="14">
        <f>SUM(E6:E10)</f>
        <v>7115.23</v>
      </c>
    </row>
    <row r="13" spans="1:1" x14ac:dyDescent="0.25">
      <c r="A13" s="2" t="s">
        <v>193</v>
      </c>
    </row>
  </sheetData>
  <autoFilter ref="A5:E10"/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9" customWidth="1"/>
    <col min="3" max="3" width="20" customWidth="1"/>
    <col min="4" max="4" width="26" customWidth="1"/>
    <col min="5" max="5" width="8" customWidth="1"/>
    <col min="6" max="6" width="11" customWidth="1"/>
    <col min="7" max="7" width="8" customWidth="1"/>
    <col min="8" max="9" width="13" customWidth="1"/>
    <col min="10" max="10" width="12" customWidth="1"/>
    <col min="11" max="11" width="13" customWidth="1"/>
    <col min="12" max="12" width="14" customWidth="1"/>
    <col min="14" max="14" width="17" customWidth="1"/>
  </cols>
  <sheetData>
    <row r="1" ht="24" customHeight="1" spans="1:1" x14ac:dyDescent="0.25">
      <c r="A1" s="1" t="s">
        <v>194</v>
      </c>
    </row>
    <row r="2" spans="1:1" x14ac:dyDescent="0.25">
      <c r="A2" s="2" t="s">
        <v>195</v>
      </c>
    </row>
    <row r="3" spans="1:1" x14ac:dyDescent="0.25">
      <c r="A3" s="2" t="s">
        <v>2</v>
      </c>
    </row>
    <row r="5" ht="30" customHeight="1" spans="1:14" x14ac:dyDescent="0.25">
      <c r="A5" s="8" t="s">
        <v>196</v>
      </c>
      <c r="B5" s="8" t="s">
        <v>197</v>
      </c>
      <c r="C5" s="8" t="s">
        <v>127</v>
      </c>
      <c r="D5" s="8" t="s">
        <v>198</v>
      </c>
      <c r="E5" s="8" t="s">
        <v>41</v>
      </c>
      <c r="F5" s="9" t="s">
        <v>199</v>
      </c>
      <c r="G5" s="9" t="s">
        <v>200</v>
      </c>
      <c r="H5" s="9" t="s">
        <v>201</v>
      </c>
      <c r="I5" s="9" t="s">
        <v>202</v>
      </c>
      <c r="J5" s="9" t="s">
        <v>203</v>
      </c>
      <c r="K5" s="9" t="s">
        <v>204</v>
      </c>
      <c r="L5" s="9" t="s">
        <v>205</v>
      </c>
      <c r="M5" s="8" t="s">
        <v>206</v>
      </c>
      <c r="N5" s="8" t="s">
        <v>28</v>
      </c>
    </row>
    <row r="6" spans="1:14" x14ac:dyDescent="0.25">
      <c r="A6" t="s">
        <v>207</v>
      </c>
      <c r="B6" t="s">
        <v>208</v>
      </c>
      <c r="C6" t="s">
        <v>189</v>
      </c>
      <c r="D6" t="s">
        <v>209</v>
      </c>
      <c r="E6" t="s">
        <v>136</v>
      </c>
      <c r="F6" s="7">
        <v>6</v>
      </c>
      <c r="G6" s="7">
        <v>6</v>
      </c>
      <c r="H6" s="5">
        <v>2300</v>
      </c>
      <c r="I6" s="5">
        <v>2300</v>
      </c>
      <c r="J6" s="12">
        <v>46305</v>
      </c>
      <c r="K6" s="5">
        <v>2300</v>
      </c>
      <c r="L6" s="5">
        <v>27600</v>
      </c>
      <c r="N6" t="s">
        <v>62</v>
      </c>
    </row>
    <row r="7" spans="1:14" x14ac:dyDescent="0.25">
      <c r="A7" t="s">
        <v>210</v>
      </c>
      <c r="B7" t="s">
        <v>210</v>
      </c>
      <c r="C7" t="s">
        <v>190</v>
      </c>
      <c r="D7" t="s">
        <v>211</v>
      </c>
      <c r="E7" t="s">
        <v>136</v>
      </c>
      <c r="F7" s="7">
        <v>48</v>
      </c>
      <c r="G7" s="7">
        <v>6</v>
      </c>
      <c r="H7" s="5">
        <v>79.63</v>
      </c>
      <c r="I7" s="5">
        <v>61.2</v>
      </c>
      <c r="J7" s="12">
        <v>46313</v>
      </c>
      <c r="K7" s="5">
        <v>637.12</v>
      </c>
      <c r="L7" s="5">
        <v>7645.44</v>
      </c>
      <c r="N7" t="s">
        <v>67</v>
      </c>
    </row>
    <row r="8" spans="1:14" x14ac:dyDescent="0.25">
      <c r="A8" t="s">
        <v>212</v>
      </c>
      <c r="B8" t="s">
        <v>212</v>
      </c>
      <c r="C8" t="s">
        <v>191</v>
      </c>
      <c r="D8" t="s">
        <v>209</v>
      </c>
      <c r="E8" t="s">
        <v>136</v>
      </c>
      <c r="F8" s="7">
        <v>6</v>
      </c>
      <c r="G8" s="7">
        <v>6</v>
      </c>
      <c r="H8" s="5">
        <v>55.9</v>
      </c>
      <c r="I8" s="5">
        <v>55.9</v>
      </c>
      <c r="J8" s="12">
        <v>46296</v>
      </c>
      <c r="K8" s="5">
        <v>55.9</v>
      </c>
      <c r="L8" s="5">
        <v>670.8</v>
      </c>
      <c r="N8" t="s">
        <v>67</v>
      </c>
    </row>
    <row r="9" spans="1:14" x14ac:dyDescent="0.25">
      <c r="A9" t="s">
        <v>98</v>
      </c>
      <c r="B9" t="s">
        <v>213</v>
      </c>
      <c r="C9" t="s">
        <v>214</v>
      </c>
      <c r="D9" t="s">
        <v>215</v>
      </c>
      <c r="E9" t="s">
        <v>136</v>
      </c>
      <c r="F9" s="7">
        <v>3</v>
      </c>
      <c r="G9" s="7">
        <v>3</v>
      </c>
      <c r="H9" s="5">
        <v>450</v>
      </c>
      <c r="I9" s="5">
        <v>450</v>
      </c>
      <c r="J9" s="12">
        <v>46307</v>
      </c>
      <c r="K9" s="5">
        <v>450</v>
      </c>
      <c r="M9" t="s">
        <v>216</v>
      </c>
      <c r="N9" t="s">
        <v>67</v>
      </c>
    </row>
    <row r="10" spans="1:14" x14ac:dyDescent="0.25">
      <c r="A10" s="13" t="s">
        <v>71</v>
      </c>
      <c r="B10" s="13"/>
      <c r="C10" s="13"/>
      <c r="D10" s="13"/>
      <c r="E10" s="13"/>
      <c r="F10" s="13"/>
      <c r="G10" s="13"/>
      <c r="H10" s="13"/>
      <c r="I10" s="13"/>
      <c r="J10" s="13"/>
      <c r="K10" s="14">
        <f>SUM(K6:K9)</f>
        <v>3443.02</v>
      </c>
      <c r="L10" s="14">
        <f>SUM(L6:L9)</f>
        <v>35916.24</v>
      </c>
      <c r="M10" s="13"/>
      <c r="N10" s="13"/>
    </row>
    <row r="12" spans="1:1" x14ac:dyDescent="0.25">
      <c r="A12" s="2" t="s">
        <v>217</v>
      </c>
    </row>
    <row r="13" spans="1:1" x14ac:dyDescent="0.25">
      <c r="A13" s="2" t="s">
        <v>218</v>
      </c>
    </row>
  </sheetData>
  <autoFilter ref="A5:N9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7" customWidth="1"/>
    <col min="4" max="4" width="27" customWidth="1"/>
    <col min="5" max="5" width="22" customWidth="1"/>
    <col min="6" max="6" width="29" customWidth="1"/>
    <col min="7" max="8" width="11" customWidth="1"/>
    <col min="10" max="10" width="11" customWidth="1"/>
    <col min="11" max="11" width="23" customWidth="1"/>
    <col min="13" max="13" width="14" customWidth="1"/>
  </cols>
  <sheetData>
    <row r="1" ht="24" customHeight="1" spans="1:1" x14ac:dyDescent="0.25">
      <c r="A1" s="1" t="s">
        <v>186</v>
      </c>
    </row>
    <row r="2" spans="1:1" x14ac:dyDescent="0.25">
      <c r="A2" s="2" t="s">
        <v>219</v>
      </c>
    </row>
    <row r="3" spans="1:1" x14ac:dyDescent="0.25">
      <c r="A3" s="2" t="s">
        <v>2</v>
      </c>
    </row>
    <row r="5" ht="30" customHeight="1" spans="1:13" x14ac:dyDescent="0.25">
      <c r="A5" s="9" t="s">
        <v>220</v>
      </c>
      <c r="B5" s="8" t="s">
        <v>37</v>
      </c>
      <c r="C5" s="8" t="s">
        <v>221</v>
      </c>
      <c r="D5" s="8" t="s">
        <v>196</v>
      </c>
      <c r="E5" s="8" t="s">
        <v>197</v>
      </c>
      <c r="F5" s="8" t="s">
        <v>127</v>
      </c>
      <c r="G5" s="8" t="s">
        <v>222</v>
      </c>
      <c r="H5" s="8" t="s">
        <v>126</v>
      </c>
      <c r="I5" s="8" t="s">
        <v>206</v>
      </c>
      <c r="J5" s="8" t="s">
        <v>223</v>
      </c>
      <c r="K5" s="8" t="s">
        <v>53</v>
      </c>
      <c r="L5" s="8" t="s">
        <v>224</v>
      </c>
      <c r="M5" s="9" t="s">
        <v>225</v>
      </c>
    </row>
    <row r="6" spans="1:13" x14ac:dyDescent="0.25">
      <c r="A6" s="12">
        <v>46239</v>
      </c>
      <c r="B6" t="s">
        <v>40</v>
      </c>
      <c r="C6" t="s">
        <v>62</v>
      </c>
      <c r="D6" t="s">
        <v>226</v>
      </c>
      <c r="E6" t="s">
        <v>227</v>
      </c>
      <c r="F6" t="s">
        <v>226</v>
      </c>
      <c r="H6" t="s">
        <v>228</v>
      </c>
      <c r="J6" t="s">
        <v>229</v>
      </c>
      <c r="K6" t="s">
        <v>230</v>
      </c>
      <c r="L6" t="s">
        <v>151</v>
      </c>
      <c r="M6" s="5">
        <v>9000</v>
      </c>
    </row>
    <row r="7" spans="1:13" x14ac:dyDescent="0.25">
      <c r="A7" s="12">
        <v>46240</v>
      </c>
      <c r="B7" t="s">
        <v>40</v>
      </c>
      <c r="C7" t="s">
        <v>62</v>
      </c>
      <c r="D7" t="s">
        <v>231</v>
      </c>
      <c r="F7" t="s">
        <v>232</v>
      </c>
      <c r="H7" t="s">
        <v>233</v>
      </c>
      <c r="J7" t="s">
        <v>229</v>
      </c>
      <c r="K7" t="s">
        <v>234</v>
      </c>
      <c r="L7" t="s">
        <v>136</v>
      </c>
      <c r="M7" s="5">
        <v>-1500</v>
      </c>
    </row>
    <row r="8" spans="1:13" x14ac:dyDescent="0.25">
      <c r="A8" s="12">
        <v>46243</v>
      </c>
      <c r="B8" t="s">
        <v>40</v>
      </c>
      <c r="C8" t="s">
        <v>62</v>
      </c>
      <c r="D8" t="s">
        <v>235</v>
      </c>
      <c r="E8" t="s">
        <v>236</v>
      </c>
      <c r="F8" t="s">
        <v>160</v>
      </c>
      <c r="H8" t="s">
        <v>237</v>
      </c>
      <c r="J8" t="s">
        <v>229</v>
      </c>
      <c r="K8" t="s">
        <v>156</v>
      </c>
      <c r="L8" t="s">
        <v>151</v>
      </c>
      <c r="M8" s="5">
        <v>-18.01</v>
      </c>
    </row>
    <row r="9" spans="1:13" x14ac:dyDescent="0.25">
      <c r="A9" s="12">
        <v>46244</v>
      </c>
      <c r="B9" t="s">
        <v>40</v>
      </c>
      <c r="C9" t="s">
        <v>62</v>
      </c>
      <c r="D9" t="s">
        <v>207</v>
      </c>
      <c r="E9" t="s">
        <v>208</v>
      </c>
      <c r="F9" t="s">
        <v>189</v>
      </c>
      <c r="H9" t="s">
        <v>133</v>
      </c>
      <c r="J9" t="s">
        <v>229</v>
      </c>
      <c r="K9" t="s">
        <v>156</v>
      </c>
      <c r="L9" t="s">
        <v>151</v>
      </c>
      <c r="M9" s="5">
        <v>-2300</v>
      </c>
    </row>
    <row r="10" spans="1:13" x14ac:dyDescent="0.25">
      <c r="A10" s="12">
        <v>46244</v>
      </c>
      <c r="B10" t="s">
        <v>40</v>
      </c>
      <c r="C10" t="s">
        <v>62</v>
      </c>
      <c r="D10" t="s">
        <v>238</v>
      </c>
      <c r="E10" t="s">
        <v>236</v>
      </c>
      <c r="F10" t="s">
        <v>160</v>
      </c>
      <c r="H10" t="s">
        <v>237</v>
      </c>
      <c r="J10" t="s">
        <v>229</v>
      </c>
      <c r="K10" t="s">
        <v>156</v>
      </c>
      <c r="L10" t="s">
        <v>151</v>
      </c>
      <c r="M10" s="5">
        <v>-19.02</v>
      </c>
    </row>
    <row r="11" spans="1:13" x14ac:dyDescent="0.25">
      <c r="A11" s="12">
        <v>46245</v>
      </c>
      <c r="B11" t="s">
        <v>40</v>
      </c>
      <c r="C11" t="s">
        <v>62</v>
      </c>
      <c r="D11" t="s">
        <v>239</v>
      </c>
      <c r="E11" t="s">
        <v>236</v>
      </c>
      <c r="F11" t="s">
        <v>160</v>
      </c>
      <c r="H11" t="s">
        <v>237</v>
      </c>
      <c r="J11" t="s">
        <v>229</v>
      </c>
      <c r="K11" t="s">
        <v>156</v>
      </c>
      <c r="L11" t="s">
        <v>151</v>
      </c>
      <c r="M11" s="5">
        <v>-20.03</v>
      </c>
    </row>
    <row r="12" spans="1:13" x14ac:dyDescent="0.25">
      <c r="A12" s="12">
        <v>46246</v>
      </c>
      <c r="B12" t="s">
        <v>42</v>
      </c>
      <c r="C12" t="s">
        <v>67</v>
      </c>
      <c r="D12" t="s">
        <v>98</v>
      </c>
      <c r="E12" t="s">
        <v>213</v>
      </c>
      <c r="F12" t="s">
        <v>214</v>
      </c>
      <c r="H12" t="s">
        <v>74</v>
      </c>
      <c r="I12" t="s">
        <v>240</v>
      </c>
      <c r="J12" t="s">
        <v>229</v>
      </c>
      <c r="K12" t="s">
        <v>156</v>
      </c>
      <c r="L12" t="s">
        <v>151</v>
      </c>
      <c r="M12" s="5">
        <v>-450</v>
      </c>
    </row>
    <row r="13" spans="1:13" x14ac:dyDescent="0.25">
      <c r="A13" s="12">
        <v>46246</v>
      </c>
      <c r="B13" t="s">
        <v>40</v>
      </c>
      <c r="C13" t="s">
        <v>62</v>
      </c>
      <c r="D13" t="s">
        <v>241</v>
      </c>
      <c r="E13" t="s">
        <v>236</v>
      </c>
      <c r="F13" t="s">
        <v>160</v>
      </c>
      <c r="H13" t="s">
        <v>237</v>
      </c>
      <c r="J13" t="s">
        <v>229</v>
      </c>
      <c r="K13" t="s">
        <v>156</v>
      </c>
      <c r="L13" t="s">
        <v>151</v>
      </c>
      <c r="M13" s="5">
        <v>-21.04</v>
      </c>
    </row>
    <row r="14" spans="1:13" x14ac:dyDescent="0.25">
      <c r="A14" s="12">
        <v>46247</v>
      </c>
      <c r="B14" t="s">
        <v>40</v>
      </c>
      <c r="C14" t="s">
        <v>62</v>
      </c>
      <c r="D14" t="s">
        <v>242</v>
      </c>
      <c r="E14" t="s">
        <v>236</v>
      </c>
      <c r="F14" t="s">
        <v>160</v>
      </c>
      <c r="H14" t="s">
        <v>237</v>
      </c>
      <c r="J14" t="s">
        <v>229</v>
      </c>
      <c r="K14" t="s">
        <v>156</v>
      </c>
      <c r="L14" t="s">
        <v>151</v>
      </c>
      <c r="M14" s="5">
        <v>-22.05</v>
      </c>
    </row>
    <row r="15" spans="1:13" x14ac:dyDescent="0.25">
      <c r="A15" s="12">
        <v>46248</v>
      </c>
      <c r="B15" t="s">
        <v>40</v>
      </c>
      <c r="C15" t="s">
        <v>62</v>
      </c>
      <c r="D15" t="s">
        <v>243</v>
      </c>
      <c r="E15" t="s">
        <v>236</v>
      </c>
      <c r="F15" t="s">
        <v>160</v>
      </c>
      <c r="H15" t="s">
        <v>237</v>
      </c>
      <c r="J15" t="s">
        <v>229</v>
      </c>
      <c r="K15" t="s">
        <v>156</v>
      </c>
      <c r="L15" t="s">
        <v>151</v>
      </c>
      <c r="M15" s="5">
        <v>-23.06</v>
      </c>
    </row>
    <row r="16" spans="1:13" x14ac:dyDescent="0.25">
      <c r="A16" s="12">
        <v>46249</v>
      </c>
      <c r="B16" t="s">
        <v>40</v>
      </c>
      <c r="C16" t="s">
        <v>62</v>
      </c>
      <c r="D16" t="s">
        <v>244</v>
      </c>
      <c r="E16" t="s">
        <v>42</v>
      </c>
      <c r="F16" t="s">
        <v>245</v>
      </c>
      <c r="H16" t="s">
        <v>233</v>
      </c>
      <c r="J16" t="s">
        <v>229</v>
      </c>
      <c r="K16" t="s">
        <v>245</v>
      </c>
      <c r="L16" t="s">
        <v>136</v>
      </c>
      <c r="M16" s="5">
        <v>-3301.4</v>
      </c>
    </row>
    <row r="17" spans="1:13" x14ac:dyDescent="0.25">
      <c r="A17" s="12">
        <v>46249</v>
      </c>
      <c r="B17" t="s">
        <v>40</v>
      </c>
      <c r="C17" t="s">
        <v>62</v>
      </c>
      <c r="D17" t="s">
        <v>246</v>
      </c>
      <c r="E17" t="s">
        <v>236</v>
      </c>
      <c r="F17" t="s">
        <v>160</v>
      </c>
      <c r="H17" t="s">
        <v>237</v>
      </c>
      <c r="J17" t="s">
        <v>229</v>
      </c>
      <c r="K17" t="s">
        <v>156</v>
      </c>
      <c r="L17" t="s">
        <v>151</v>
      </c>
      <c r="M17" s="5">
        <v>-24</v>
      </c>
    </row>
    <row r="18" spans="1:13" x14ac:dyDescent="0.25">
      <c r="A18" s="12">
        <v>46250</v>
      </c>
      <c r="B18" t="s">
        <v>40</v>
      </c>
      <c r="C18" t="s">
        <v>62</v>
      </c>
      <c r="D18" t="s">
        <v>247</v>
      </c>
      <c r="E18" t="s">
        <v>236</v>
      </c>
      <c r="F18" t="s">
        <v>160</v>
      </c>
      <c r="H18" t="s">
        <v>237</v>
      </c>
      <c r="J18" t="s">
        <v>229</v>
      </c>
      <c r="K18" t="s">
        <v>156</v>
      </c>
      <c r="L18" t="s">
        <v>151</v>
      </c>
      <c r="M18" s="5">
        <v>-25.01</v>
      </c>
    </row>
    <row r="19" spans="1:13" x14ac:dyDescent="0.25">
      <c r="A19" s="12">
        <v>46251</v>
      </c>
      <c r="B19" t="s">
        <v>40</v>
      </c>
      <c r="C19" t="s">
        <v>62</v>
      </c>
      <c r="D19" t="s">
        <v>248</v>
      </c>
      <c r="E19" t="s">
        <v>236</v>
      </c>
      <c r="F19" t="s">
        <v>160</v>
      </c>
      <c r="H19" t="s">
        <v>237</v>
      </c>
      <c r="J19" t="s">
        <v>229</v>
      </c>
      <c r="K19" t="s">
        <v>156</v>
      </c>
      <c r="L19" t="s">
        <v>151</v>
      </c>
      <c r="M19" s="5">
        <v>-26.02</v>
      </c>
    </row>
    <row r="20" spans="1:13" x14ac:dyDescent="0.25">
      <c r="A20" s="12">
        <v>46252</v>
      </c>
      <c r="B20" t="s">
        <v>40</v>
      </c>
      <c r="C20" t="s">
        <v>62</v>
      </c>
      <c r="D20" t="s">
        <v>249</v>
      </c>
      <c r="E20" t="s">
        <v>236</v>
      </c>
      <c r="F20" t="s">
        <v>160</v>
      </c>
      <c r="H20" t="s">
        <v>237</v>
      </c>
      <c r="J20" t="s">
        <v>229</v>
      </c>
      <c r="K20" t="s">
        <v>156</v>
      </c>
      <c r="L20" t="s">
        <v>151</v>
      </c>
      <c r="M20" s="5">
        <v>-27.03</v>
      </c>
    </row>
    <row r="21" spans="1:13" x14ac:dyDescent="0.25">
      <c r="A21" s="12">
        <v>46253</v>
      </c>
      <c r="B21" t="s">
        <v>40</v>
      </c>
      <c r="C21" t="s">
        <v>62</v>
      </c>
      <c r="D21" t="s">
        <v>250</v>
      </c>
      <c r="E21" t="s">
        <v>236</v>
      </c>
      <c r="F21" t="s">
        <v>160</v>
      </c>
      <c r="H21" t="s">
        <v>237</v>
      </c>
      <c r="J21" t="s">
        <v>229</v>
      </c>
      <c r="K21" t="s">
        <v>156</v>
      </c>
      <c r="L21" t="s">
        <v>151</v>
      </c>
      <c r="M21" s="5">
        <v>-28.04</v>
      </c>
    </row>
    <row r="22" spans="1:13" x14ac:dyDescent="0.25">
      <c r="A22" s="12">
        <v>46254</v>
      </c>
      <c r="B22" t="s">
        <v>40</v>
      </c>
      <c r="C22" t="s">
        <v>62</v>
      </c>
      <c r="D22" t="s">
        <v>251</v>
      </c>
      <c r="E22" t="s">
        <v>236</v>
      </c>
      <c r="F22" t="s">
        <v>160</v>
      </c>
      <c r="H22" t="s">
        <v>237</v>
      </c>
      <c r="J22" t="s">
        <v>229</v>
      </c>
      <c r="K22" t="s">
        <v>156</v>
      </c>
      <c r="L22" t="s">
        <v>151</v>
      </c>
      <c r="M22" s="5">
        <v>-29.05</v>
      </c>
    </row>
    <row r="23" spans="1:13" x14ac:dyDescent="0.25">
      <c r="A23" s="12">
        <v>46255</v>
      </c>
      <c r="B23" t="s">
        <v>40</v>
      </c>
      <c r="C23" t="s">
        <v>62</v>
      </c>
      <c r="D23" t="s">
        <v>252</v>
      </c>
      <c r="E23" t="s">
        <v>236</v>
      </c>
      <c r="F23" t="s">
        <v>160</v>
      </c>
      <c r="H23" t="s">
        <v>237</v>
      </c>
      <c r="J23" t="s">
        <v>229</v>
      </c>
      <c r="K23" t="s">
        <v>156</v>
      </c>
      <c r="L23" t="s">
        <v>151</v>
      </c>
      <c r="M23" s="5">
        <v>-30.06</v>
      </c>
    </row>
    <row r="24" spans="1:13" x14ac:dyDescent="0.25">
      <c r="A24" s="12">
        <v>46256</v>
      </c>
      <c r="B24" t="s">
        <v>40</v>
      </c>
      <c r="C24" t="s">
        <v>62</v>
      </c>
      <c r="D24" t="s">
        <v>253</v>
      </c>
      <c r="E24" t="s">
        <v>236</v>
      </c>
      <c r="F24" t="s">
        <v>160</v>
      </c>
      <c r="H24" t="s">
        <v>237</v>
      </c>
      <c r="J24" t="s">
        <v>229</v>
      </c>
      <c r="K24" t="s">
        <v>156</v>
      </c>
      <c r="L24" t="s">
        <v>151</v>
      </c>
      <c r="M24" s="5">
        <v>-31</v>
      </c>
    </row>
    <row r="25" spans="1:13" x14ac:dyDescent="0.25">
      <c r="A25" s="12">
        <v>46257</v>
      </c>
      <c r="B25" t="s">
        <v>40</v>
      </c>
      <c r="C25" t="s">
        <v>62</v>
      </c>
      <c r="D25" t="s">
        <v>254</v>
      </c>
      <c r="E25" t="s">
        <v>236</v>
      </c>
      <c r="F25" t="s">
        <v>160</v>
      </c>
      <c r="H25" t="s">
        <v>237</v>
      </c>
      <c r="J25" t="s">
        <v>229</v>
      </c>
      <c r="K25" t="s">
        <v>156</v>
      </c>
      <c r="L25" t="s">
        <v>151</v>
      </c>
      <c r="M25" s="5">
        <v>-32.01</v>
      </c>
    </row>
    <row r="26" spans="1:13" x14ac:dyDescent="0.25">
      <c r="A26" s="12">
        <v>46258</v>
      </c>
      <c r="B26" t="s">
        <v>40</v>
      </c>
      <c r="C26" t="s">
        <v>62</v>
      </c>
      <c r="D26" t="s">
        <v>255</v>
      </c>
      <c r="E26" t="s">
        <v>236</v>
      </c>
      <c r="F26" t="s">
        <v>160</v>
      </c>
      <c r="H26" t="s">
        <v>237</v>
      </c>
      <c r="J26" t="s">
        <v>229</v>
      </c>
      <c r="K26" t="s">
        <v>156</v>
      </c>
      <c r="L26" t="s">
        <v>151</v>
      </c>
      <c r="M26" s="5">
        <v>-33.02</v>
      </c>
    </row>
    <row r="27" spans="1:13" x14ac:dyDescent="0.25">
      <c r="A27" s="12">
        <v>46259</v>
      </c>
      <c r="B27" t="s">
        <v>40</v>
      </c>
      <c r="C27" t="s">
        <v>62</v>
      </c>
      <c r="D27" t="s">
        <v>256</v>
      </c>
      <c r="E27" t="s">
        <v>236</v>
      </c>
      <c r="F27" t="s">
        <v>160</v>
      </c>
      <c r="H27" t="s">
        <v>237</v>
      </c>
      <c r="J27" t="s">
        <v>229</v>
      </c>
      <c r="K27" t="s">
        <v>156</v>
      </c>
      <c r="L27" t="s">
        <v>151</v>
      </c>
      <c r="M27" s="5">
        <v>-34.03</v>
      </c>
    </row>
    <row r="28" spans="1:13" x14ac:dyDescent="0.25">
      <c r="A28" s="12">
        <v>46260</v>
      </c>
      <c r="B28" t="s">
        <v>40</v>
      </c>
      <c r="C28" t="s">
        <v>62</v>
      </c>
      <c r="D28" t="s">
        <v>257</v>
      </c>
      <c r="E28" t="s">
        <v>236</v>
      </c>
      <c r="F28" t="s">
        <v>160</v>
      </c>
      <c r="H28" t="s">
        <v>237</v>
      </c>
      <c r="J28" t="s">
        <v>229</v>
      </c>
      <c r="K28" t="s">
        <v>156</v>
      </c>
      <c r="L28" t="s">
        <v>151</v>
      </c>
      <c r="M28" s="5">
        <v>-35.04</v>
      </c>
    </row>
    <row r="29" spans="1:13" x14ac:dyDescent="0.25">
      <c r="A29" s="12">
        <v>46261</v>
      </c>
      <c r="B29" t="s">
        <v>40</v>
      </c>
      <c r="C29" t="s">
        <v>62</v>
      </c>
      <c r="D29" t="s">
        <v>258</v>
      </c>
      <c r="E29" t="s">
        <v>236</v>
      </c>
      <c r="F29" t="s">
        <v>160</v>
      </c>
      <c r="H29" t="s">
        <v>237</v>
      </c>
      <c r="J29" t="s">
        <v>229</v>
      </c>
      <c r="K29" t="s">
        <v>156</v>
      </c>
      <c r="L29" t="s">
        <v>151</v>
      </c>
      <c r="M29" s="5">
        <v>-36.05</v>
      </c>
    </row>
    <row r="30" spans="1:13" x14ac:dyDescent="0.25">
      <c r="A30" s="12">
        <v>46262</v>
      </c>
      <c r="B30" t="s">
        <v>40</v>
      </c>
      <c r="C30" t="s">
        <v>62</v>
      </c>
      <c r="D30" t="s">
        <v>259</v>
      </c>
      <c r="E30" t="s">
        <v>236</v>
      </c>
      <c r="F30" t="s">
        <v>160</v>
      </c>
      <c r="H30" t="s">
        <v>237</v>
      </c>
      <c r="J30" t="s">
        <v>229</v>
      </c>
      <c r="K30" t="s">
        <v>156</v>
      </c>
      <c r="L30" t="s">
        <v>151</v>
      </c>
      <c r="M30" s="5">
        <v>-37.06</v>
      </c>
    </row>
    <row r="31" spans="1:13" x14ac:dyDescent="0.25">
      <c r="A31" s="12">
        <v>46263</v>
      </c>
      <c r="B31" t="s">
        <v>40</v>
      </c>
      <c r="C31" t="s">
        <v>62</v>
      </c>
      <c r="D31" t="s">
        <v>260</v>
      </c>
      <c r="E31" t="s">
        <v>236</v>
      </c>
      <c r="F31" t="s">
        <v>160</v>
      </c>
      <c r="H31" t="s">
        <v>237</v>
      </c>
      <c r="J31" t="s">
        <v>229</v>
      </c>
      <c r="K31" t="s">
        <v>156</v>
      </c>
      <c r="L31" t="s">
        <v>151</v>
      </c>
      <c r="M31" s="5">
        <v>-38</v>
      </c>
    </row>
    <row r="32" spans="1:13" x14ac:dyDescent="0.25">
      <c r="A32" s="12">
        <v>46264</v>
      </c>
      <c r="B32" t="s">
        <v>40</v>
      </c>
      <c r="C32" t="s">
        <v>62</v>
      </c>
      <c r="D32" t="s">
        <v>261</v>
      </c>
      <c r="E32" t="s">
        <v>236</v>
      </c>
      <c r="F32" t="s">
        <v>160</v>
      </c>
      <c r="H32" t="s">
        <v>237</v>
      </c>
      <c r="J32" t="s">
        <v>229</v>
      </c>
      <c r="K32" t="s">
        <v>156</v>
      </c>
      <c r="L32" t="s">
        <v>151</v>
      </c>
      <c r="M32" s="5">
        <v>-39.01</v>
      </c>
    </row>
    <row r="33" spans="1:13" x14ac:dyDescent="0.25">
      <c r="A33" s="12">
        <v>46265</v>
      </c>
      <c r="B33" t="s">
        <v>40</v>
      </c>
      <c r="C33" t="s">
        <v>62</v>
      </c>
      <c r="D33" t="s">
        <v>262</v>
      </c>
      <c r="E33" t="s">
        <v>236</v>
      </c>
      <c r="F33" t="s">
        <v>160</v>
      </c>
      <c r="H33" t="s">
        <v>237</v>
      </c>
      <c r="J33" t="s">
        <v>229</v>
      </c>
      <c r="K33" t="s">
        <v>156</v>
      </c>
      <c r="L33" t="s">
        <v>151</v>
      </c>
      <c r="M33" s="5">
        <v>-40.02</v>
      </c>
    </row>
    <row r="34" spans="1:13" x14ac:dyDescent="0.25">
      <c r="A34" s="12">
        <v>46266</v>
      </c>
      <c r="B34" t="s">
        <v>40</v>
      </c>
      <c r="C34" t="s">
        <v>62</v>
      </c>
      <c r="D34" t="s">
        <v>263</v>
      </c>
      <c r="E34" t="s">
        <v>236</v>
      </c>
      <c r="F34" t="s">
        <v>160</v>
      </c>
      <c r="H34" t="s">
        <v>237</v>
      </c>
      <c r="J34" t="s">
        <v>229</v>
      </c>
      <c r="K34" t="s">
        <v>156</v>
      </c>
      <c r="L34" t="s">
        <v>151</v>
      </c>
      <c r="M34" s="5">
        <v>-41.03</v>
      </c>
    </row>
    <row r="35" spans="1:13" x14ac:dyDescent="0.25">
      <c r="A35" s="12">
        <v>46267</v>
      </c>
      <c r="B35" t="s">
        <v>40</v>
      </c>
      <c r="C35" t="s">
        <v>62</v>
      </c>
      <c r="D35" t="s">
        <v>264</v>
      </c>
      <c r="F35" t="s">
        <v>265</v>
      </c>
      <c r="G35" t="s">
        <v>160</v>
      </c>
      <c r="H35" t="s">
        <v>237</v>
      </c>
      <c r="J35" t="s">
        <v>229</v>
      </c>
      <c r="K35" t="s">
        <v>156</v>
      </c>
      <c r="L35" t="s">
        <v>151</v>
      </c>
      <c r="M35" s="5">
        <v>-32.5</v>
      </c>
    </row>
    <row r="36" spans="1:13" x14ac:dyDescent="0.25">
      <c r="A36" s="12">
        <v>46267</v>
      </c>
      <c r="B36" t="s">
        <v>40</v>
      </c>
      <c r="C36" t="s">
        <v>62</v>
      </c>
      <c r="D36" t="s">
        <v>266</v>
      </c>
      <c r="E36" t="s">
        <v>236</v>
      </c>
      <c r="F36" t="s">
        <v>160</v>
      </c>
      <c r="H36" t="s">
        <v>237</v>
      </c>
      <c r="J36" t="s">
        <v>229</v>
      </c>
      <c r="K36" t="s">
        <v>156</v>
      </c>
      <c r="L36" t="s">
        <v>151</v>
      </c>
      <c r="M36" s="5">
        <v>-42.04</v>
      </c>
    </row>
    <row r="37" spans="1:13" x14ac:dyDescent="0.25">
      <c r="A37" s="12">
        <v>46268</v>
      </c>
      <c r="B37" t="s">
        <v>40</v>
      </c>
      <c r="C37" t="s">
        <v>62</v>
      </c>
      <c r="D37" t="s">
        <v>267</v>
      </c>
      <c r="F37" t="s">
        <v>192</v>
      </c>
      <c r="J37" t="s">
        <v>229</v>
      </c>
      <c r="K37" t="s">
        <v>156</v>
      </c>
      <c r="L37" t="s">
        <v>151</v>
      </c>
      <c r="M37" s="5">
        <v>-1</v>
      </c>
    </row>
    <row r="38" spans="1:13" x14ac:dyDescent="0.25">
      <c r="A38" s="12">
        <v>46268</v>
      </c>
      <c r="B38" t="s">
        <v>40</v>
      </c>
      <c r="C38" t="s">
        <v>62</v>
      </c>
      <c r="D38" t="s">
        <v>268</v>
      </c>
      <c r="E38" t="s">
        <v>236</v>
      </c>
      <c r="F38" t="s">
        <v>160</v>
      </c>
      <c r="H38" t="s">
        <v>237</v>
      </c>
      <c r="J38" t="s">
        <v>229</v>
      </c>
      <c r="K38" t="s">
        <v>156</v>
      </c>
      <c r="L38" t="s">
        <v>151</v>
      </c>
      <c r="M38" s="5">
        <v>-43.05</v>
      </c>
    </row>
    <row r="39" spans="1:13" x14ac:dyDescent="0.25">
      <c r="A39" s="12">
        <v>46269</v>
      </c>
      <c r="B39" t="s">
        <v>40</v>
      </c>
      <c r="C39" t="s">
        <v>62</v>
      </c>
      <c r="D39" t="s">
        <v>269</v>
      </c>
      <c r="E39" t="s">
        <v>236</v>
      </c>
      <c r="F39" t="s">
        <v>160</v>
      </c>
      <c r="H39" t="s">
        <v>237</v>
      </c>
      <c r="J39" t="s">
        <v>229</v>
      </c>
      <c r="K39" t="s">
        <v>156</v>
      </c>
      <c r="L39" t="s">
        <v>151</v>
      </c>
      <c r="M39" s="5">
        <v>-44.06</v>
      </c>
    </row>
    <row r="40" spans="1:13" x14ac:dyDescent="0.25">
      <c r="A40" s="12">
        <v>46270</v>
      </c>
      <c r="B40" t="s">
        <v>40</v>
      </c>
      <c r="C40" t="s">
        <v>62</v>
      </c>
      <c r="D40" t="s">
        <v>270</v>
      </c>
      <c r="E40" t="s">
        <v>236</v>
      </c>
      <c r="F40" t="s">
        <v>160</v>
      </c>
      <c r="H40" t="s">
        <v>237</v>
      </c>
      <c r="J40" t="s">
        <v>229</v>
      </c>
      <c r="K40" t="s">
        <v>156</v>
      </c>
      <c r="L40" t="s">
        <v>151</v>
      </c>
      <c r="M40" s="5">
        <v>-45</v>
      </c>
    </row>
    <row r="41" spans="1:13" x14ac:dyDescent="0.25">
      <c r="A41" s="12">
        <v>46271</v>
      </c>
      <c r="B41" t="s">
        <v>40</v>
      </c>
      <c r="C41" t="s">
        <v>62</v>
      </c>
      <c r="D41" t="s">
        <v>271</v>
      </c>
      <c r="E41" t="s">
        <v>236</v>
      </c>
      <c r="F41" t="s">
        <v>160</v>
      </c>
      <c r="H41" t="s">
        <v>237</v>
      </c>
      <c r="J41" t="s">
        <v>229</v>
      </c>
      <c r="K41" t="s">
        <v>156</v>
      </c>
      <c r="L41" t="s">
        <v>151</v>
      </c>
      <c r="M41" s="5">
        <v>-46.01</v>
      </c>
    </row>
    <row r="42" spans="1:13" x14ac:dyDescent="0.25">
      <c r="A42" s="12">
        <v>46272</v>
      </c>
      <c r="B42" t="s">
        <v>40</v>
      </c>
      <c r="C42" t="s">
        <v>62</v>
      </c>
      <c r="D42" t="s">
        <v>272</v>
      </c>
      <c r="E42" t="s">
        <v>236</v>
      </c>
      <c r="F42" t="s">
        <v>160</v>
      </c>
      <c r="H42" t="s">
        <v>237</v>
      </c>
      <c r="J42" t="s">
        <v>229</v>
      </c>
      <c r="K42" t="s">
        <v>156</v>
      </c>
      <c r="L42" t="s">
        <v>151</v>
      </c>
      <c r="M42" s="5">
        <v>-47.02</v>
      </c>
    </row>
    <row r="43" spans="1:13" x14ac:dyDescent="0.25">
      <c r="A43" s="12">
        <v>46273</v>
      </c>
      <c r="B43" t="s">
        <v>40</v>
      </c>
      <c r="C43" t="s">
        <v>62</v>
      </c>
      <c r="D43" t="s">
        <v>273</v>
      </c>
      <c r="E43" t="s">
        <v>236</v>
      </c>
      <c r="F43" t="s">
        <v>160</v>
      </c>
      <c r="H43" t="s">
        <v>237</v>
      </c>
      <c r="J43" t="s">
        <v>229</v>
      </c>
      <c r="K43" t="s">
        <v>156</v>
      </c>
      <c r="L43" t="s">
        <v>151</v>
      </c>
      <c r="M43" s="5">
        <v>-48.03</v>
      </c>
    </row>
    <row r="44" spans="1:13" x14ac:dyDescent="0.25">
      <c r="A44" s="12">
        <v>46274</v>
      </c>
      <c r="B44" t="s">
        <v>40</v>
      </c>
      <c r="C44" t="s">
        <v>62</v>
      </c>
      <c r="D44" t="s">
        <v>274</v>
      </c>
      <c r="E44" t="s">
        <v>236</v>
      </c>
      <c r="F44" t="s">
        <v>160</v>
      </c>
      <c r="H44" t="s">
        <v>237</v>
      </c>
      <c r="J44" t="s">
        <v>229</v>
      </c>
      <c r="K44" t="s">
        <v>156</v>
      </c>
      <c r="L44" t="s">
        <v>151</v>
      </c>
      <c r="M44" s="5">
        <v>-49.04</v>
      </c>
    </row>
    <row r="45" spans="1:13" x14ac:dyDescent="0.25">
      <c r="A45" s="12">
        <v>46275</v>
      </c>
      <c r="B45" t="s">
        <v>40</v>
      </c>
      <c r="C45" t="s">
        <v>62</v>
      </c>
      <c r="D45" t="s">
        <v>275</v>
      </c>
      <c r="E45" t="s">
        <v>236</v>
      </c>
      <c r="F45" t="s">
        <v>160</v>
      </c>
      <c r="H45" t="s">
        <v>237</v>
      </c>
      <c r="J45" t="s">
        <v>229</v>
      </c>
      <c r="K45" t="s">
        <v>156</v>
      </c>
      <c r="L45" t="s">
        <v>151</v>
      </c>
      <c r="M45" s="5">
        <v>-50.05</v>
      </c>
    </row>
    <row r="46" spans="1:13" x14ac:dyDescent="0.25">
      <c r="A46" s="12">
        <v>46276</v>
      </c>
      <c r="B46" t="s">
        <v>40</v>
      </c>
      <c r="C46" t="s">
        <v>62</v>
      </c>
      <c r="D46" t="s">
        <v>276</v>
      </c>
      <c r="E46" t="s">
        <v>236</v>
      </c>
      <c r="F46" t="s">
        <v>160</v>
      </c>
      <c r="H46" t="s">
        <v>237</v>
      </c>
      <c r="J46" t="s">
        <v>229</v>
      </c>
      <c r="K46" t="s">
        <v>156</v>
      </c>
      <c r="L46" t="s">
        <v>151</v>
      </c>
      <c r="M46" s="5">
        <v>-51.06</v>
      </c>
    </row>
    <row r="47" spans="1:13" x14ac:dyDescent="0.25">
      <c r="A47" s="12">
        <v>46277</v>
      </c>
      <c r="B47" t="s">
        <v>40</v>
      </c>
      <c r="C47" t="s">
        <v>62</v>
      </c>
      <c r="D47" t="s">
        <v>277</v>
      </c>
      <c r="E47" t="s">
        <v>236</v>
      </c>
      <c r="F47" t="s">
        <v>160</v>
      </c>
      <c r="H47" t="s">
        <v>237</v>
      </c>
      <c r="J47" t="s">
        <v>229</v>
      </c>
      <c r="K47" t="s">
        <v>156</v>
      </c>
      <c r="L47" t="s">
        <v>151</v>
      </c>
      <c r="M47" s="5">
        <v>-52</v>
      </c>
    </row>
    <row r="48" spans="1:13" x14ac:dyDescent="0.25">
      <c r="A48" s="12">
        <v>46278</v>
      </c>
      <c r="B48" t="s">
        <v>40</v>
      </c>
      <c r="C48" t="s">
        <v>62</v>
      </c>
      <c r="D48" t="s">
        <v>278</v>
      </c>
      <c r="E48" t="s">
        <v>236</v>
      </c>
      <c r="F48" t="s">
        <v>160</v>
      </c>
      <c r="H48" t="s">
        <v>237</v>
      </c>
      <c r="J48" t="s">
        <v>229</v>
      </c>
      <c r="K48" t="s">
        <v>156</v>
      </c>
      <c r="L48" t="s">
        <v>151</v>
      </c>
      <c r="M48" s="5">
        <v>-53.01</v>
      </c>
    </row>
    <row r="49" spans="1:13" x14ac:dyDescent="0.25">
      <c r="A49" s="12">
        <v>46279</v>
      </c>
      <c r="B49" t="s">
        <v>40</v>
      </c>
      <c r="C49" t="s">
        <v>62</v>
      </c>
      <c r="D49" t="s">
        <v>279</v>
      </c>
      <c r="E49" t="s">
        <v>236</v>
      </c>
      <c r="F49" t="s">
        <v>160</v>
      </c>
      <c r="H49" t="s">
        <v>237</v>
      </c>
      <c r="J49" t="s">
        <v>229</v>
      </c>
      <c r="K49" t="s">
        <v>156</v>
      </c>
      <c r="L49" t="s">
        <v>151</v>
      </c>
      <c r="M49" s="5">
        <v>-54.02</v>
      </c>
    </row>
    <row r="50" spans="1:13" x14ac:dyDescent="0.25">
      <c r="A50" s="12">
        <v>46280</v>
      </c>
      <c r="B50" t="s">
        <v>40</v>
      </c>
      <c r="C50" t="s">
        <v>62</v>
      </c>
      <c r="D50" t="s">
        <v>280</v>
      </c>
      <c r="E50" t="s">
        <v>236</v>
      </c>
      <c r="F50" t="s">
        <v>160</v>
      </c>
      <c r="H50" t="s">
        <v>237</v>
      </c>
      <c r="J50" t="s">
        <v>229</v>
      </c>
      <c r="K50" t="s">
        <v>156</v>
      </c>
      <c r="L50" t="s">
        <v>151</v>
      </c>
      <c r="M50" s="5">
        <v>-55.03</v>
      </c>
    </row>
    <row r="51" spans="1:13" x14ac:dyDescent="0.25">
      <c r="A51" s="12">
        <v>46281</v>
      </c>
      <c r="B51" t="s">
        <v>40</v>
      </c>
      <c r="C51" t="s">
        <v>62</v>
      </c>
      <c r="D51" t="s">
        <v>281</v>
      </c>
      <c r="E51" t="s">
        <v>236</v>
      </c>
      <c r="F51" t="s">
        <v>160</v>
      </c>
      <c r="H51" t="s">
        <v>237</v>
      </c>
      <c r="J51" t="s">
        <v>229</v>
      </c>
      <c r="K51" t="s">
        <v>156</v>
      </c>
      <c r="L51" t="s">
        <v>151</v>
      </c>
      <c r="M51" s="5">
        <v>-56.04</v>
      </c>
    </row>
    <row r="52" spans="1:13" x14ac:dyDescent="0.25">
      <c r="A52" s="12">
        <v>46282</v>
      </c>
      <c r="B52" t="s">
        <v>40</v>
      </c>
      <c r="C52" t="s">
        <v>62</v>
      </c>
      <c r="D52" t="s">
        <v>282</v>
      </c>
      <c r="E52" t="s">
        <v>236</v>
      </c>
      <c r="F52" t="s">
        <v>160</v>
      </c>
      <c r="H52" t="s">
        <v>237</v>
      </c>
      <c r="J52" t="s">
        <v>229</v>
      </c>
      <c r="K52" t="s">
        <v>156</v>
      </c>
      <c r="L52" t="s">
        <v>151</v>
      </c>
      <c r="M52" s="5">
        <v>-57.05</v>
      </c>
    </row>
    <row r="53" spans="1:13" x14ac:dyDescent="0.25">
      <c r="A53" s="12">
        <v>46283</v>
      </c>
      <c r="B53" t="s">
        <v>40</v>
      </c>
      <c r="C53" t="s">
        <v>62</v>
      </c>
      <c r="D53" t="s">
        <v>283</v>
      </c>
      <c r="E53" t="s">
        <v>236</v>
      </c>
      <c r="F53" t="s">
        <v>160</v>
      </c>
      <c r="H53" t="s">
        <v>237</v>
      </c>
      <c r="J53" t="s">
        <v>229</v>
      </c>
      <c r="K53" t="s">
        <v>156</v>
      </c>
      <c r="L53" t="s">
        <v>151</v>
      </c>
      <c r="M53" s="5">
        <v>-58.06</v>
      </c>
    </row>
    <row r="54" spans="1:13" x14ac:dyDescent="0.25">
      <c r="A54" s="12">
        <v>46284</v>
      </c>
      <c r="B54" t="s">
        <v>40</v>
      </c>
      <c r="C54" t="s">
        <v>62</v>
      </c>
      <c r="D54" t="s">
        <v>284</v>
      </c>
      <c r="E54" t="s">
        <v>236</v>
      </c>
      <c r="F54" t="s">
        <v>160</v>
      </c>
      <c r="H54" t="s">
        <v>237</v>
      </c>
      <c r="J54" t="s">
        <v>229</v>
      </c>
      <c r="K54" t="s">
        <v>156</v>
      </c>
      <c r="L54" t="s">
        <v>151</v>
      </c>
      <c r="M54" s="5">
        <v>-59</v>
      </c>
    </row>
    <row r="55" spans="1:13" x14ac:dyDescent="0.25">
      <c r="A55" s="12">
        <v>46285</v>
      </c>
      <c r="B55" t="s">
        <v>40</v>
      </c>
      <c r="C55" t="s">
        <v>62</v>
      </c>
      <c r="D55" t="s">
        <v>285</v>
      </c>
      <c r="E55" t="s">
        <v>236</v>
      </c>
      <c r="F55" t="s">
        <v>160</v>
      </c>
      <c r="H55" t="s">
        <v>237</v>
      </c>
      <c r="J55" t="s">
        <v>229</v>
      </c>
      <c r="K55" t="s">
        <v>156</v>
      </c>
      <c r="L55" t="s">
        <v>151</v>
      </c>
      <c r="M55" s="5">
        <v>-60.01</v>
      </c>
    </row>
    <row r="56" spans="1:13" x14ac:dyDescent="0.25">
      <c r="A56" s="12">
        <v>46286</v>
      </c>
      <c r="B56" t="s">
        <v>40</v>
      </c>
      <c r="C56" t="s">
        <v>62</v>
      </c>
      <c r="D56" t="s">
        <v>286</v>
      </c>
      <c r="E56" t="s">
        <v>236</v>
      </c>
      <c r="F56" t="s">
        <v>160</v>
      </c>
      <c r="H56" t="s">
        <v>237</v>
      </c>
      <c r="J56" t="s">
        <v>229</v>
      </c>
      <c r="K56" t="s">
        <v>156</v>
      </c>
      <c r="L56" t="s">
        <v>151</v>
      </c>
      <c r="M56" s="5">
        <v>-61.02</v>
      </c>
    </row>
    <row r="57" spans="1:13" x14ac:dyDescent="0.25">
      <c r="A57" s="12">
        <v>46287</v>
      </c>
      <c r="B57" t="s">
        <v>40</v>
      </c>
      <c r="C57" t="s">
        <v>62</v>
      </c>
      <c r="D57" t="s">
        <v>287</v>
      </c>
      <c r="E57" t="s">
        <v>236</v>
      </c>
      <c r="F57" t="s">
        <v>160</v>
      </c>
      <c r="H57" t="s">
        <v>237</v>
      </c>
      <c r="J57" t="s">
        <v>229</v>
      </c>
      <c r="K57" t="s">
        <v>156</v>
      </c>
      <c r="L57" t="s">
        <v>151</v>
      </c>
      <c r="M57" s="5">
        <v>-62.03</v>
      </c>
    </row>
    <row r="58" spans="1:13" x14ac:dyDescent="0.25">
      <c r="A58" s="12">
        <v>46288</v>
      </c>
      <c r="B58" t="s">
        <v>40</v>
      </c>
      <c r="C58" t="s">
        <v>62</v>
      </c>
      <c r="D58" t="s">
        <v>288</v>
      </c>
      <c r="E58" t="s">
        <v>236</v>
      </c>
      <c r="F58" t="s">
        <v>160</v>
      </c>
      <c r="H58" t="s">
        <v>237</v>
      </c>
      <c r="J58" t="s">
        <v>229</v>
      </c>
      <c r="K58" t="s">
        <v>156</v>
      </c>
      <c r="L58" t="s">
        <v>151</v>
      </c>
      <c r="M58" s="5">
        <v>-63.04</v>
      </c>
    </row>
    <row r="59" spans="1:13" x14ac:dyDescent="0.25">
      <c r="A59" s="12">
        <v>46289</v>
      </c>
      <c r="B59" t="s">
        <v>40</v>
      </c>
      <c r="C59" t="s">
        <v>62</v>
      </c>
      <c r="D59" t="s">
        <v>289</v>
      </c>
      <c r="E59" t="s">
        <v>236</v>
      </c>
      <c r="F59" t="s">
        <v>160</v>
      </c>
      <c r="H59" t="s">
        <v>237</v>
      </c>
      <c r="J59" t="s">
        <v>229</v>
      </c>
      <c r="K59" t="s">
        <v>156</v>
      </c>
      <c r="L59" t="s">
        <v>151</v>
      </c>
      <c r="M59" s="5">
        <v>-64.05</v>
      </c>
    </row>
    <row r="60" spans="1:13" x14ac:dyDescent="0.25">
      <c r="A60" s="12">
        <v>46290</v>
      </c>
      <c r="B60" t="s">
        <v>40</v>
      </c>
      <c r="C60" t="s">
        <v>62</v>
      </c>
      <c r="D60" t="s">
        <v>290</v>
      </c>
      <c r="E60" t="s">
        <v>236</v>
      </c>
      <c r="F60" t="s">
        <v>160</v>
      </c>
      <c r="H60" t="s">
        <v>237</v>
      </c>
      <c r="J60" t="s">
        <v>229</v>
      </c>
      <c r="K60" t="s">
        <v>156</v>
      </c>
      <c r="L60" t="s">
        <v>151</v>
      </c>
      <c r="M60" s="5">
        <v>-65.06</v>
      </c>
    </row>
    <row r="61" spans="1:13" x14ac:dyDescent="0.25">
      <c r="A61" s="12">
        <v>46291</v>
      </c>
      <c r="B61" t="s">
        <v>40</v>
      </c>
      <c r="C61" t="s">
        <v>62</v>
      </c>
      <c r="D61" t="s">
        <v>291</v>
      </c>
      <c r="E61" t="s">
        <v>236</v>
      </c>
      <c r="F61" t="s">
        <v>160</v>
      </c>
      <c r="H61" t="s">
        <v>237</v>
      </c>
      <c r="J61" t="s">
        <v>229</v>
      </c>
      <c r="K61" t="s">
        <v>156</v>
      </c>
      <c r="L61" t="s">
        <v>151</v>
      </c>
      <c r="M61" s="5">
        <v>-66</v>
      </c>
    </row>
    <row r="62" spans="1:13" x14ac:dyDescent="0.25">
      <c r="A62" s="12">
        <v>46292</v>
      </c>
      <c r="B62" t="s">
        <v>40</v>
      </c>
      <c r="C62" t="s">
        <v>62</v>
      </c>
      <c r="D62" t="s">
        <v>292</v>
      </c>
      <c r="E62" t="s">
        <v>236</v>
      </c>
      <c r="F62" t="s">
        <v>160</v>
      </c>
      <c r="H62" t="s">
        <v>237</v>
      </c>
      <c r="J62" t="s">
        <v>229</v>
      </c>
      <c r="K62" t="s">
        <v>156</v>
      </c>
      <c r="L62" t="s">
        <v>151</v>
      </c>
      <c r="M62" s="5">
        <v>-67.01</v>
      </c>
    </row>
    <row r="63" spans="1:13" x14ac:dyDescent="0.25">
      <c r="A63" s="12">
        <v>46293</v>
      </c>
      <c r="B63" t="s">
        <v>40</v>
      </c>
      <c r="C63" t="s">
        <v>62</v>
      </c>
      <c r="D63" t="s">
        <v>293</v>
      </c>
      <c r="E63" t="s">
        <v>236</v>
      </c>
      <c r="F63" t="s">
        <v>160</v>
      </c>
      <c r="H63" t="s">
        <v>237</v>
      </c>
      <c r="J63" t="s">
        <v>229</v>
      </c>
      <c r="K63" t="s">
        <v>156</v>
      </c>
      <c r="L63" t="s">
        <v>151</v>
      </c>
      <c r="M63" s="5">
        <v>-68.02</v>
      </c>
    </row>
    <row r="64" spans="1:13" x14ac:dyDescent="0.25">
      <c r="A64" s="12">
        <v>46294</v>
      </c>
      <c r="B64" t="s">
        <v>40</v>
      </c>
      <c r="C64" t="s">
        <v>62</v>
      </c>
      <c r="D64" t="s">
        <v>294</v>
      </c>
      <c r="E64" t="s">
        <v>236</v>
      </c>
      <c r="F64" t="s">
        <v>160</v>
      </c>
      <c r="H64" t="s">
        <v>237</v>
      </c>
      <c r="J64" t="s">
        <v>229</v>
      </c>
      <c r="K64" t="s">
        <v>156</v>
      </c>
      <c r="L64" t="s">
        <v>151</v>
      </c>
      <c r="M64" s="5">
        <v>-69.03</v>
      </c>
    </row>
    <row r="65" spans="1:13" x14ac:dyDescent="0.25">
      <c r="A65" s="12">
        <v>46317</v>
      </c>
      <c r="B65" t="s">
        <v>42</v>
      </c>
      <c r="C65" t="s">
        <v>67</v>
      </c>
      <c r="D65" t="s">
        <v>295</v>
      </c>
      <c r="E65" t="s">
        <v>296</v>
      </c>
      <c r="F65" t="s">
        <v>190</v>
      </c>
      <c r="H65" t="s">
        <v>74</v>
      </c>
      <c r="J65" t="s">
        <v>297</v>
      </c>
      <c r="K65" t="s">
        <v>156</v>
      </c>
      <c r="L65" t="s">
        <v>151</v>
      </c>
      <c r="M65" s="5">
        <v>-27.9</v>
      </c>
    </row>
    <row r="66" spans="1:13" x14ac:dyDescent="0.25">
      <c r="A66" s="13"/>
      <c r="B66" s="13" t="s">
        <v>298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4">
        <f>SUBTOTAL(109,M6:M65)</f>
        <v>-876.33</v>
      </c>
    </row>
  </sheetData>
  <autoFilter ref="A5:M65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1"/>
  <sheetFormatPr defaultRowHeight="15" outlineLevelRow="0" outlineLevelCol="0" x14ac:dyDescent="55"/>
  <cols>
    <col min="1" max="1" width="30" customWidth="1"/>
    <col min="2" max="2" width="48" customWidth="1"/>
    <col min="3" max="3" width="60" customWidth="1"/>
    <col min="4" max="5" width="11" customWidth="1"/>
    <col min="6" max="6" width="60" customWidth="1"/>
  </cols>
  <sheetData>
    <row r="1" ht="24" customHeight="1" spans="1:1" x14ac:dyDescent="0.25">
      <c r="A1" s="1" t="s">
        <v>299</v>
      </c>
    </row>
    <row r="2" spans="1:1" x14ac:dyDescent="0.25">
      <c r="A2" s="2" t="s">
        <v>300</v>
      </c>
    </row>
    <row r="3" spans="1:1" x14ac:dyDescent="0.25">
      <c r="A3" s="2" t="s">
        <v>2</v>
      </c>
    </row>
    <row r="5" spans="1:2" x14ac:dyDescent="0.25">
      <c r="A5" s="4" t="s">
        <v>301</v>
      </c>
      <c r="B5" t="s">
        <v>302</v>
      </c>
    </row>
    <row r="6" spans="1:2" x14ac:dyDescent="0.25">
      <c r="A6" s="4" t="s">
        <v>303</v>
      </c>
      <c r="B6" t="s">
        <v>304</v>
      </c>
    </row>
    <row r="7" spans="1:2" x14ac:dyDescent="0.25">
      <c r="A7" s="4" t="s">
        <v>305</v>
      </c>
      <c r="B7" t="s">
        <v>306</v>
      </c>
    </row>
    <row r="8" spans="1:2" x14ac:dyDescent="0.25">
      <c r="A8" s="4" t="s">
        <v>307</v>
      </c>
      <c r="B8" t="s">
        <v>308</v>
      </c>
    </row>
    <row r="9" spans="1:2" x14ac:dyDescent="0.25">
      <c r="A9" s="4" t="s">
        <v>309</v>
      </c>
      <c r="B9" t="s">
        <v>310</v>
      </c>
    </row>
    <row r="10" spans="1:2" x14ac:dyDescent="0.25">
      <c r="A10" s="4" t="s">
        <v>311</v>
      </c>
      <c r="B10" s="5">
        <v>3200</v>
      </c>
    </row>
    <row r="11" spans="1:2" x14ac:dyDescent="0.25">
      <c r="A11" s="4" t="s">
        <v>312</v>
      </c>
      <c r="B11" s="5">
        <v>3900</v>
      </c>
    </row>
    <row r="12" spans="1:2" x14ac:dyDescent="0.25">
      <c r="A12" s="4" t="s">
        <v>313</v>
      </c>
      <c r="B12" s="5">
        <v>520</v>
      </c>
    </row>
    <row r="14" spans="1:1" x14ac:dyDescent="0.25">
      <c r="A14" s="3" t="s">
        <v>314</v>
      </c>
    </row>
    <row r="15" ht="45" customHeight="1" spans="1:8" x14ac:dyDescent="0.25">
      <c r="A15" s="17" t="s">
        <v>315</v>
      </c>
      <c r="B15" s="17"/>
      <c r="C15" s="17"/>
      <c r="D15" s="17"/>
      <c r="E15" s="17"/>
      <c r="F15" s="17"/>
      <c r="G15" s="17"/>
      <c r="H15" s="17"/>
    </row>
    <row r="17" spans="1:1" x14ac:dyDescent="0.25">
      <c r="A17" s="3" t="s">
        <v>316</v>
      </c>
    </row>
    <row r="18" ht="30" customHeight="1" spans="1:6" x14ac:dyDescent="0.25">
      <c r="A18" s="8" t="s">
        <v>53</v>
      </c>
      <c r="B18" s="8" t="s">
        <v>317</v>
      </c>
      <c r="C18" s="8" t="s">
        <v>318</v>
      </c>
      <c r="D18" s="9" t="s">
        <v>319</v>
      </c>
      <c r="E18" s="8" t="s">
        <v>320</v>
      </c>
      <c r="F18" s="8" t="s">
        <v>321</v>
      </c>
    </row>
    <row r="19" spans="1:6" x14ac:dyDescent="0.25">
      <c r="A19" t="s">
        <v>322</v>
      </c>
      <c r="B19" t="s">
        <v>323</v>
      </c>
      <c r="C19" s="17" t="s">
        <v>324</v>
      </c>
      <c r="D19" s="5">
        <v>320</v>
      </c>
      <c r="E19" t="s">
        <v>325</v>
      </c>
      <c r="F19" s="17" t="s">
        <v>326</v>
      </c>
    </row>
    <row r="20" spans="1:6" x14ac:dyDescent="0.25">
      <c r="A20" t="s">
        <v>327</v>
      </c>
      <c r="B20" t="s">
        <v>328</v>
      </c>
      <c r="C20" t="s">
        <v>329</v>
      </c>
      <c r="D20" s="5">
        <v>55.9</v>
      </c>
      <c r="E20" t="s">
        <v>330</v>
      </c>
    </row>
    <row r="21" spans="1:6" x14ac:dyDescent="0.25">
      <c r="A21" s="13" t="s">
        <v>71</v>
      </c>
      <c r="B21" s="13"/>
      <c r="C21" s="13"/>
      <c r="D21" s="14">
        <f>SUM(D19:D20)</f>
        <v>375.9</v>
      </c>
      <c r="E21" s="13"/>
      <c r="F21" s="13"/>
    </row>
  </sheetData>
  <mergeCells count="1">
    <mergeCell ref="A15:H15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</vt:lpstr>
      <vt:lpstr>Contas</vt:lpstr>
      <vt:lpstr>Cartões</vt:lpstr>
      <vt:lpstr>Faturas</vt:lpstr>
      <vt:lpstr>Parcelamentos</vt:lpstr>
      <vt:lpstr>Empréstimos</vt:lpstr>
      <vt:lpstr>Compromissos fixos</vt:lpstr>
      <vt:lpstr>Metas</vt:lpstr>
      <vt:lpstr>Orçamento</vt:lpstr>
      <vt:lpstr>Projeção</vt:lpstr>
      <vt:lpstr>Fluxo de caixa</vt:lpstr>
      <vt:lpstr>Gastos por categoria</vt:lpstr>
      <vt:lpstr>Recorrências</vt:lpstr>
      <vt:lpstr>Transações</vt:lpstr>
      <vt:lpstr>Análise do Claude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 Caixa</dc:creator>
  <dc:title>Meu Caixa — Exportação financeira</dc:title>
  <dc:subject>Período 01/08/2026 a 23/10/2026</dc:subject>
  <dc:description>Exportação do Meu Caixa gerada em 23/10/2026 14:05 (America/Sao_Paulo).</dc:description>
  <cp:keywords>finanças pessoais, meu caixa, exportação</cp:keywords>
  <cp:category>Finanças</cp:category>
  <cp:lastModifiedBy>Meu Caixa</cp:lastModifiedBy>
  <dcterms:created xsi:type="dcterms:W3CDTF">2026-10-23T17:05:00Z</dcterms:created>
  <dcterms:modified xsi:type="dcterms:W3CDTF">2026-10-23T17:05:00Z</dcterms:modified>
</cp:coreProperties>
</file>